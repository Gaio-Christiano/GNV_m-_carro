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EstaPasta_de_trabalho" defaultThemeVersion="124226"/>
  <bookViews>
    <workbookView xWindow="150" yWindow="540" windowWidth="23655" windowHeight="11445"/>
  </bookViews>
  <sheets>
    <sheet name="calculo medio de abastecimento" sheetId="4" r:id="rId1"/>
    <sheet name="Tabela GNV" sheetId="1" r:id="rId2"/>
    <sheet name="Tabela GNV corrigido densidade" sheetId="2" r:id="rId3"/>
    <sheet name="Tabela GNV massa em KG" sheetId="3" r:id="rId4"/>
  </sheets>
  <calcPr calcId="114210"/>
</workbook>
</file>

<file path=xl/calcChain.xml><?xml version="1.0" encoding="utf-8"?>
<calcChain xmlns="http://schemas.openxmlformats.org/spreadsheetml/2006/main">
  <c r="B11" i="4"/>
  <c r="B10"/>
  <c r="B12"/>
  <c r="B6" i="3"/>
  <c r="C6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AZ6"/>
  <c r="BA6"/>
  <c r="BB6"/>
  <c r="BC6"/>
  <c r="BD6"/>
  <c r="BE6"/>
  <c r="BF6"/>
  <c r="BG6"/>
  <c r="BH6"/>
  <c r="BI6"/>
  <c r="BJ6"/>
  <c r="C7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AZ7"/>
  <c r="BA7"/>
  <c r="BB7"/>
  <c r="BC7"/>
  <c r="BD7"/>
  <c r="BE7"/>
  <c r="BF7"/>
  <c r="BG7"/>
  <c r="BH7"/>
  <c r="BI7"/>
  <c r="BJ7"/>
  <c r="C8"/>
  <c r="D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AZ8"/>
  <c r="BA8"/>
  <c r="BB8"/>
  <c r="BC8"/>
  <c r="BD8"/>
  <c r="BE8"/>
  <c r="BF8"/>
  <c r="BG8"/>
  <c r="BH8"/>
  <c r="BI8"/>
  <c r="BJ8"/>
  <c r="C9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AZ9"/>
  <c r="BA9"/>
  <c r="BB9"/>
  <c r="BC9"/>
  <c r="BD9"/>
  <c r="BE9"/>
  <c r="BF9"/>
  <c r="BG9"/>
  <c r="BH9"/>
  <c r="BI9"/>
  <c r="BJ9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AZ10"/>
  <c r="BA10"/>
  <c r="BB10"/>
  <c r="BC10"/>
  <c r="BD10"/>
  <c r="BE10"/>
  <c r="BF10"/>
  <c r="BG10"/>
  <c r="BH10"/>
  <c r="BI10"/>
  <c r="BJ10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AZ11"/>
  <c r="BA11"/>
  <c r="BB11"/>
  <c r="BC11"/>
  <c r="BD11"/>
  <c r="BE11"/>
  <c r="BF11"/>
  <c r="BG11"/>
  <c r="BH11"/>
  <c r="BI11"/>
  <c r="BJ11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AZ12"/>
  <c r="BA12"/>
  <c r="BB12"/>
  <c r="BC12"/>
  <c r="BD12"/>
  <c r="BE12"/>
  <c r="BF12"/>
  <c r="BG12"/>
  <c r="BH12"/>
  <c r="BI12"/>
  <c r="BJ12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AZ13"/>
  <c r="BA13"/>
  <c r="BB13"/>
  <c r="BC13"/>
  <c r="BD13"/>
  <c r="BE13"/>
  <c r="BF13"/>
  <c r="BG13"/>
  <c r="BH13"/>
  <c r="BI13"/>
  <c r="BJ13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AZ14"/>
  <c r="BA14"/>
  <c r="BB14"/>
  <c r="BC14"/>
  <c r="BD14"/>
  <c r="BE14"/>
  <c r="BF14"/>
  <c r="BG14"/>
  <c r="BH14"/>
  <c r="BI14"/>
  <c r="BJ14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AZ15"/>
  <c r="BA15"/>
  <c r="BB15"/>
  <c r="BC15"/>
  <c r="BD15"/>
  <c r="BE15"/>
  <c r="BF15"/>
  <c r="BG15"/>
  <c r="BH15"/>
  <c r="BI15"/>
  <c r="BJ15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AZ16"/>
  <c r="BA16"/>
  <c r="BB16"/>
  <c r="BC16"/>
  <c r="BD16"/>
  <c r="BE16"/>
  <c r="BF16"/>
  <c r="BG16"/>
  <c r="BH16"/>
  <c r="BI16"/>
  <c r="BJ16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AZ17"/>
  <c r="BA17"/>
  <c r="BB17"/>
  <c r="BC17"/>
  <c r="BD17"/>
  <c r="BE17"/>
  <c r="BF17"/>
  <c r="BG17"/>
  <c r="BH17"/>
  <c r="BI17"/>
  <c r="BJ17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AZ18"/>
  <c r="BA18"/>
  <c r="BB18"/>
  <c r="BC18"/>
  <c r="BD18"/>
  <c r="BE18"/>
  <c r="BF18"/>
  <c r="BG18"/>
  <c r="BH18"/>
  <c r="BI18"/>
  <c r="BJ18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AZ19"/>
  <c r="BA19"/>
  <c r="BB19"/>
  <c r="BC19"/>
  <c r="BD19"/>
  <c r="BE19"/>
  <c r="BF19"/>
  <c r="BG19"/>
  <c r="BH19"/>
  <c r="BI19"/>
  <c r="BJ19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AZ20"/>
  <c r="BA20"/>
  <c r="BB20"/>
  <c r="BC20"/>
  <c r="BD20"/>
  <c r="BE20"/>
  <c r="BF20"/>
  <c r="BG20"/>
  <c r="BH20"/>
  <c r="BI20"/>
  <c r="BJ20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AZ21"/>
  <c r="BA21"/>
  <c r="BB21"/>
  <c r="BC21"/>
  <c r="BD21"/>
  <c r="BE21"/>
  <c r="BF21"/>
  <c r="BG21"/>
  <c r="BH21"/>
  <c r="BI21"/>
  <c r="BJ21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AZ22"/>
  <c r="BA22"/>
  <c r="BB22"/>
  <c r="BC22"/>
  <c r="BD22"/>
  <c r="BE22"/>
  <c r="BF22"/>
  <c r="BG22"/>
  <c r="BH22"/>
  <c r="BI22"/>
  <c r="BJ22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AZ23"/>
  <c r="BA23"/>
  <c r="BB23"/>
  <c r="BC23"/>
  <c r="BD23"/>
  <c r="BE23"/>
  <c r="BF23"/>
  <c r="BG23"/>
  <c r="BH23"/>
  <c r="BI23"/>
  <c r="BJ23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AZ24"/>
  <c r="BA24"/>
  <c r="BB24"/>
  <c r="BC24"/>
  <c r="BD24"/>
  <c r="BE24"/>
  <c r="BF24"/>
  <c r="BG24"/>
  <c r="BH24"/>
  <c r="BI24"/>
  <c r="BJ24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AZ25"/>
  <c r="BA25"/>
  <c r="BB25"/>
  <c r="BC25"/>
  <c r="BD25"/>
  <c r="BE25"/>
  <c r="BF25"/>
  <c r="BG25"/>
  <c r="BH25"/>
  <c r="BI25"/>
  <c r="BJ25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BF26"/>
  <c r="BG26"/>
  <c r="BH26"/>
  <c r="BI26"/>
  <c r="BJ26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BF27"/>
  <c r="BG27"/>
  <c r="BH27"/>
  <c r="BI27"/>
  <c r="BJ27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AZ28"/>
  <c r="BA28"/>
  <c r="BB28"/>
  <c r="BC28"/>
  <c r="BD28"/>
  <c r="BE28"/>
  <c r="BF28"/>
  <c r="BG28"/>
  <c r="BH28"/>
  <c r="BI28"/>
  <c r="BJ28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BF29"/>
  <c r="BG29"/>
  <c r="BH29"/>
  <c r="BI29"/>
  <c r="BJ29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AZ30"/>
  <c r="BA30"/>
  <c r="BB30"/>
  <c r="BC30"/>
  <c r="BD30"/>
  <c r="BE30"/>
  <c r="BF30"/>
  <c r="BG30"/>
  <c r="BH30"/>
  <c r="BI30"/>
  <c r="BJ30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AZ31"/>
  <c r="BA31"/>
  <c r="BB31"/>
  <c r="BC31"/>
  <c r="BD31"/>
  <c r="BE31"/>
  <c r="BF31"/>
  <c r="BG31"/>
  <c r="BH31"/>
  <c r="BI31"/>
  <c r="BJ31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C33"/>
  <c r="D33"/>
  <c r="E33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AZ34"/>
  <c r="BA34"/>
  <c r="BB34"/>
  <c r="BC34"/>
  <c r="BD34"/>
  <c r="BE34"/>
  <c r="BF34"/>
  <c r="BG34"/>
  <c r="BH34"/>
  <c r="BI34"/>
  <c r="BJ34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BF35"/>
  <c r="BG35"/>
  <c r="BH35"/>
  <c r="BI35"/>
  <c r="BJ35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AY36"/>
  <c r="AZ36"/>
  <c r="BA36"/>
  <c r="BB36"/>
  <c r="BC36"/>
  <c r="BD36"/>
  <c r="BE36"/>
  <c r="BF36"/>
  <c r="BG36"/>
  <c r="BH36"/>
  <c r="BI36"/>
  <c r="BJ36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AZ37"/>
  <c r="BA37"/>
  <c r="BB37"/>
  <c r="BC37"/>
  <c r="BD37"/>
  <c r="BE37"/>
  <c r="BF37"/>
  <c r="BG37"/>
  <c r="BH37"/>
  <c r="BI37"/>
  <c r="BJ37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AZ38"/>
  <c r="BA38"/>
  <c r="BB38"/>
  <c r="BC38"/>
  <c r="BD38"/>
  <c r="BE38"/>
  <c r="BF38"/>
  <c r="BG38"/>
  <c r="BH38"/>
  <c r="BI38"/>
  <c r="BJ38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7" i="2"/>
  <c r="C7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AZ7"/>
  <c r="BA7"/>
  <c r="BB7"/>
  <c r="BC7"/>
  <c r="BD7"/>
  <c r="BE7"/>
  <c r="BF7"/>
  <c r="BG7"/>
  <c r="BH7"/>
  <c r="BI7"/>
  <c r="BJ7"/>
  <c r="B8"/>
  <c r="C8"/>
  <c r="D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AZ8"/>
  <c r="BA8"/>
  <c r="BB8"/>
  <c r="BC8"/>
  <c r="BD8"/>
  <c r="BE8"/>
  <c r="BF8"/>
  <c r="BG8"/>
  <c r="BH8"/>
  <c r="BI8"/>
  <c r="BJ8"/>
  <c r="B9"/>
  <c r="C9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AZ9"/>
  <c r="BA9"/>
  <c r="BB9"/>
  <c r="BC9"/>
  <c r="BD9"/>
  <c r="BE9"/>
  <c r="BF9"/>
  <c r="BG9"/>
  <c r="BH9"/>
  <c r="BI9"/>
  <c r="BJ9"/>
  <c r="B10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AZ10"/>
  <c r="BA10"/>
  <c r="BB10"/>
  <c r="BC10"/>
  <c r="BD10"/>
  <c r="BE10"/>
  <c r="BF10"/>
  <c r="BG10"/>
  <c r="BH10"/>
  <c r="BI10"/>
  <c r="BJ10"/>
  <c r="B11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AZ11"/>
  <c r="BA11"/>
  <c r="BB11"/>
  <c r="BC11"/>
  <c r="BD11"/>
  <c r="BE11"/>
  <c r="BF11"/>
  <c r="BG11"/>
  <c r="BH11"/>
  <c r="BI11"/>
  <c r="BJ11"/>
  <c r="B12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AZ12"/>
  <c r="BA12"/>
  <c r="BB12"/>
  <c r="BC12"/>
  <c r="BD12"/>
  <c r="BE12"/>
  <c r="BF12"/>
  <c r="BG12"/>
  <c r="BH12"/>
  <c r="BI12"/>
  <c r="BJ12"/>
  <c r="B13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AZ13"/>
  <c r="BA13"/>
  <c r="BB13"/>
  <c r="BC13"/>
  <c r="BD13"/>
  <c r="BE13"/>
  <c r="BF13"/>
  <c r="BG13"/>
  <c r="BH13"/>
  <c r="BI13"/>
  <c r="BJ13"/>
  <c r="B14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AZ14"/>
  <c r="BA14"/>
  <c r="BB14"/>
  <c r="BC14"/>
  <c r="BD14"/>
  <c r="BE14"/>
  <c r="BF14"/>
  <c r="BG14"/>
  <c r="BH14"/>
  <c r="BI14"/>
  <c r="BJ14"/>
  <c r="B15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AZ15"/>
  <c r="BA15"/>
  <c r="BB15"/>
  <c r="BC15"/>
  <c r="BD15"/>
  <c r="BE15"/>
  <c r="BF15"/>
  <c r="BG15"/>
  <c r="BH15"/>
  <c r="BI15"/>
  <c r="BJ15"/>
  <c r="B16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AZ16"/>
  <c r="BA16"/>
  <c r="BB16"/>
  <c r="BC16"/>
  <c r="BD16"/>
  <c r="BE16"/>
  <c r="BF16"/>
  <c r="BG16"/>
  <c r="BH16"/>
  <c r="BI16"/>
  <c r="BJ16"/>
  <c r="B17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AZ17"/>
  <c r="BA17"/>
  <c r="BB17"/>
  <c r="BC17"/>
  <c r="BD17"/>
  <c r="BE17"/>
  <c r="BF17"/>
  <c r="BG17"/>
  <c r="BH17"/>
  <c r="BI17"/>
  <c r="BJ17"/>
  <c r="B18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AZ18"/>
  <c r="BA18"/>
  <c r="BB18"/>
  <c r="BC18"/>
  <c r="BD18"/>
  <c r="BE18"/>
  <c r="BF18"/>
  <c r="BG18"/>
  <c r="BH18"/>
  <c r="BI18"/>
  <c r="BJ18"/>
  <c r="B19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AZ19"/>
  <c r="BA19"/>
  <c r="BB19"/>
  <c r="BC19"/>
  <c r="BD19"/>
  <c r="BE19"/>
  <c r="BF19"/>
  <c r="BG19"/>
  <c r="BH19"/>
  <c r="BI19"/>
  <c r="BJ19"/>
  <c r="B20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AZ20"/>
  <c r="BA20"/>
  <c r="BB20"/>
  <c r="BC20"/>
  <c r="BD20"/>
  <c r="BE20"/>
  <c r="BF20"/>
  <c r="BG20"/>
  <c r="BH20"/>
  <c r="BI20"/>
  <c r="BJ20"/>
  <c r="B21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AZ21"/>
  <c r="BA21"/>
  <c r="BB21"/>
  <c r="BC21"/>
  <c r="BD21"/>
  <c r="BE21"/>
  <c r="BF21"/>
  <c r="BG21"/>
  <c r="BH21"/>
  <c r="BI21"/>
  <c r="BJ21"/>
  <c r="B22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AZ22"/>
  <c r="BA22"/>
  <c r="BB22"/>
  <c r="BC22"/>
  <c r="BD22"/>
  <c r="BE22"/>
  <c r="BF22"/>
  <c r="BG22"/>
  <c r="BH22"/>
  <c r="BI22"/>
  <c r="BJ22"/>
  <c r="B23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AZ23"/>
  <c r="BA23"/>
  <c r="BB23"/>
  <c r="BC23"/>
  <c r="BD23"/>
  <c r="BE23"/>
  <c r="BF23"/>
  <c r="BG23"/>
  <c r="BH23"/>
  <c r="BI23"/>
  <c r="BJ23"/>
  <c r="B24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AZ24"/>
  <c r="BA24"/>
  <c r="BB24"/>
  <c r="BC24"/>
  <c r="BD24"/>
  <c r="BE24"/>
  <c r="BF24"/>
  <c r="BG24"/>
  <c r="BH24"/>
  <c r="BI24"/>
  <c r="BJ24"/>
  <c r="B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AZ25"/>
  <c r="BA25"/>
  <c r="BB25"/>
  <c r="BC25"/>
  <c r="BD25"/>
  <c r="BE25"/>
  <c r="BF25"/>
  <c r="BG25"/>
  <c r="BH25"/>
  <c r="BI25"/>
  <c r="BJ25"/>
  <c r="B26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BF26"/>
  <c r="BG26"/>
  <c r="BH26"/>
  <c r="BI26"/>
  <c r="BJ26"/>
  <c r="B27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BF27"/>
  <c r="BG27"/>
  <c r="BH27"/>
  <c r="BI27"/>
  <c r="BJ27"/>
  <c r="B28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AZ28"/>
  <c r="BA28"/>
  <c r="BB28"/>
  <c r="BC28"/>
  <c r="BD28"/>
  <c r="BE28"/>
  <c r="BF28"/>
  <c r="BG28"/>
  <c r="BH28"/>
  <c r="BI28"/>
  <c r="BJ28"/>
  <c r="B29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BF29"/>
  <c r="BG29"/>
  <c r="BH29"/>
  <c r="BI29"/>
  <c r="BJ29"/>
  <c r="B30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AZ30"/>
  <c r="BA30"/>
  <c r="BB30"/>
  <c r="BC30"/>
  <c r="BD30"/>
  <c r="BE30"/>
  <c r="BF30"/>
  <c r="BG30"/>
  <c r="BH30"/>
  <c r="BI30"/>
  <c r="BJ30"/>
  <c r="B31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AZ31"/>
  <c r="BA31"/>
  <c r="BB31"/>
  <c r="BC31"/>
  <c r="BD31"/>
  <c r="BE31"/>
  <c r="BF31"/>
  <c r="BG31"/>
  <c r="BH31"/>
  <c r="BI31"/>
  <c r="BJ31"/>
  <c r="B32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33"/>
  <c r="C33"/>
  <c r="D33"/>
  <c r="E33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34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AZ34"/>
  <c r="BA34"/>
  <c r="BB34"/>
  <c r="BC34"/>
  <c r="BD34"/>
  <c r="BE34"/>
  <c r="BF34"/>
  <c r="BG34"/>
  <c r="BH34"/>
  <c r="BI34"/>
  <c r="BJ34"/>
  <c r="B35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BF35"/>
  <c r="BG35"/>
  <c r="BH35"/>
  <c r="BI35"/>
  <c r="BJ35"/>
  <c r="B36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AY36"/>
  <c r="AZ36"/>
  <c r="BA36"/>
  <c r="BB36"/>
  <c r="BC36"/>
  <c r="BD36"/>
  <c r="BE36"/>
  <c r="BF36"/>
  <c r="BG36"/>
  <c r="BH36"/>
  <c r="BI36"/>
  <c r="BJ36"/>
  <c r="B37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AZ37"/>
  <c r="BA37"/>
  <c r="BB37"/>
  <c r="BC37"/>
  <c r="BD37"/>
  <c r="BE37"/>
  <c r="BF37"/>
  <c r="BG37"/>
  <c r="BH37"/>
  <c r="BI37"/>
  <c r="BJ37"/>
  <c r="B38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AZ38"/>
  <c r="BA38"/>
  <c r="BB38"/>
  <c r="BC38"/>
  <c r="BD38"/>
  <c r="BE38"/>
  <c r="BF38"/>
  <c r="BG38"/>
  <c r="BH38"/>
  <c r="BI38"/>
  <c r="BJ38"/>
  <c r="B39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B40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41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B42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B43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B44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B45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B46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C6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AZ6"/>
  <c r="BA6"/>
  <c r="BB6"/>
  <c r="BC6"/>
  <c r="BD6"/>
  <c r="BE6"/>
  <c r="BF6"/>
  <c r="BG6"/>
  <c r="BH6"/>
  <c r="BI6"/>
  <c r="BJ6"/>
  <c r="B6"/>
  <c r="B6" i="1"/>
  <c r="C7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B7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</calcChain>
</file>

<file path=xl/comments1.xml><?xml version="1.0" encoding="utf-8"?>
<comments xmlns="http://schemas.openxmlformats.org/spreadsheetml/2006/main">
  <authors>
    <author>Christiano Gaio</author>
  </authors>
  <commentList>
    <comment ref="B10" authorId="0">
      <text>
        <r>
          <rPr>
            <b/>
            <sz val="9"/>
            <color indexed="81"/>
            <rFont val="Tahoma"/>
            <charset val="1"/>
          </rPr>
          <t>Christiano Gaio:</t>
        </r>
        <r>
          <rPr>
            <sz val="9"/>
            <color indexed="81"/>
            <rFont val="Tahoma"/>
            <charset val="1"/>
          </rPr>
          <t xml:space="preserve">
O valor 273,15 e cada parte dessa fórmula vêm da Termodinâmica dos Gases e das leis que regem o comportamento físico do GNV (gás natural veicular) dentro de cilindros sob pressão.
Abaixo, explico detalhadamente cada parte da fórmula para que você entenda exatamente o que ela faz:
1. O que é o 273,15?
O 273,15 é a constante usada para converter temperatura de Celsius (°C) para Kelvin (K).
Na física, os cálculos de gases (Lei dos Gases Ideais) não podem ser feitos usando a escala Celsius direta, porque o zero Celsius (0°C) não significa ausência total de energia térmica. O zero absoluto (onde as moléculas param completamente) fica em -273,15°C.
• Para transformar qualquer temperatura em Celsius para a escala absoluta Kelvin, somamos: Temperatura em Kelvin = Celsius + 273,15.
• É por isso que na fórmula aparece (273,15 + \$B\$4), convertendo a temperatura ambiente informada para Kelvin.
2. Explicação passo a passo de cada parte da fórmula
A fórmula calcula a quantidade de gás que entra subtraindo o estado final (após o abastecimento) pelo estado inicial (o que já estava no cilindro antes). Vamos destrinchar cada termo:
($B$1 / 1000)
• Por que divide por 1000?
• O volume do cilindro na célula $B$1 é informado em litros (ex: 26 litros). Como os cálculos termodinâmicos exigem unidades no S.I. (Sistema Internacional), convertemos litros para metros cúbicos (m³) dividindo por 1.000 (1m³ = 1.000 litros).
($B$3 + 1) / 1,01325 (Bloco da Pressão Final)
• Por que soma 1 em $B$3?
$B$3 é a pressão final mostrada no manômetro da bomba (ex: 200 bar). No entanto, os manômetros medem a pressão manométrica (ignorando a pressão da atmosfera que já está espremendo tudo por fora). Para saber a Pressão Absoluta real que está comprimindo o gás por dentro, precisamos somar a pressão atmosférica ao redor, que vale aproximadamente 1 Bar (por isso o + 1).
• Por que divide por 1,01325?
1 atm padrão equivale a 1,01325 bar. Dividir por este valor converte a pressão para atmosferas padrão, ajustando a proporção para as condições de referência.
(273,15 / (273,15 + $B$4)) (Fator de Correção de Temperatura)
• Por que multiplica por isso?
Isso faz parte da Lei Geral dos Gases. Quando a temperatura sobe, o gás se expande; quando esfria, ele se contrai.
o O numerador (273,15) representa a temperatura padrão de referência (0°C)
o O denominador (273,15 + $B$4) é a temperatura ambiente real no momento do abastecimento convertida para Kelvin.
o Lógica: Se a temperatura estiver alta, esse fator diminui proporcionalmente a quantidade de massa/volume útil calculada, corrigindo o efeito térmico (já que gás quente "ocupa mais espaço" mas tem menos massa efetiva).
Resumo do Funcionamento Global
A fórmula funciona em duas grandes partes unidas por um sinal de menos (-):
1. Primeiro bloco: Calcula o estado volumétrico do cilindro na Pressão Final e temperatura ambiente.
2. Segundo bloco (-): Calcula o estado volumétrico do gás residual que já estava dentro do cilindro na Pressão Inicial e temperatura ambiente.
O resultado final da subtração dá exatamente o volume líquido de gás (m³ ou Nm³) que entrou no cilindro durante o abastecimento.
</t>
        </r>
      </text>
    </comment>
    <comment ref="B11" authorId="0">
      <text>
        <r>
          <rPr>
            <b/>
            <sz val="9"/>
            <color indexed="81"/>
            <rFont val="Tahoma"/>
            <charset val="1"/>
          </rPr>
          <t>Christiano Gaio:</t>
        </r>
        <r>
          <rPr>
            <sz val="9"/>
            <color indexed="81"/>
            <rFont val="Tahoma"/>
            <charset val="1"/>
          </rPr>
          <t xml:space="preserve">
Fórmula de Cálculo de Abastecimento de GNV (Massa em Kg):
• ($B$1 / 1000): Converte a litragem do cilindro de litros para metros cúbicos (m³).
• (( $B$3 + 1 ) / 1,01325) * ...: Calcula o estado final do gás na Pressão Final (B3) absoluta (convertendo a pressão do manômetro + 1 atm atmosférica) e ajusta pelo fator térmico de temperatura ambiente (B4 em Kelvin).
• - ((B2 + 1) / 1,01325) * ...: Subtrai o estado inicial do gás residual que já estava dentro do cilindro na Pressão Inicial ($B2$) antes de abastecer. O resultado dessa subtração é o volume líquido (Nm³) que entrou.
• * $B$5: Multiplica o volume líquido obtido pela Densidade do GNV (B5), transformando o resultado final em quilogramas (kg) de gás abastecido.
</t>
        </r>
      </text>
    </comment>
  </commentList>
</comments>
</file>

<file path=xl/comments2.xml><?xml version="1.0" encoding="utf-8"?>
<comments xmlns="http://schemas.openxmlformats.org/spreadsheetml/2006/main">
  <authors>
    <author>Christiano Gaio</author>
  </authors>
  <commentList>
    <comment ref="B6" authorId="0">
      <text>
        <r>
          <rPr>
            <b/>
            <sz val="9"/>
            <color indexed="81"/>
            <rFont val="Tahoma"/>
            <charset val="1"/>
          </rPr>
          <t>Christiano Gaio:</t>
        </r>
        <r>
          <rPr>
            <sz val="9"/>
            <color indexed="81"/>
            <rFont val="Tahoma"/>
            <charset val="1"/>
          </rPr>
          <t xml:space="preserve">
O motivo de a coluna 0 (que representa 0 bar de pressão manométrica) apresentar um valor maior que zero ocorre porque a fórmula utiliza a Pressão Absoluta, e não a pressão do manômetro.
A Explicação Técnica:
Na física e termodinâmica dos gases, a pressão que faz o gás ocupar volume ou ter massa dentro do cilindro é a Pressão Absoluta, que é a soma da pressão do manômetro ($0\text{ bar}$) com a pressão atmosférica ambiente (aproximadamente $1,01325\text{ bar}$).
• Na sua fórmula: ((B$5 + 1) / 1,01325)
• Quando $B\$5 = 0$ (marcado no manômetro da bomba), o cálculo faz: (0 + 1) / 1,01325, o que resulta em aproximadamente 0,987 (quase 1 atmosfera de pressão absoluta).
• Isso significa que o valor exibido na coluna de 0 bar não é o gás que entrou no posto, mas sim a quantidade de ar/gás residual que já existe dentro de um cilindro vazio à pressão atmosférica ao nível do mar antes de iniciar o abastecimento.
Como zerar a coluna de 0 bar na sua planilha?
Se você deseja que a coluna 0 exiba exatamente 0 (considerando que o cilindro estaria totalmente vazio ou referenciado à pressão zero do manômetro), você precisa subtrair a atmosfera base na fórmula, ou seja, considerar o incremento a partir do zero manométrico.</t>
        </r>
      </text>
    </comment>
  </commentList>
</comments>
</file>

<file path=xl/comments3.xml><?xml version="1.0" encoding="utf-8"?>
<comments xmlns="http://schemas.openxmlformats.org/spreadsheetml/2006/main">
  <authors>
    <author>Christiano Gaio</author>
  </authors>
  <commentList>
    <comment ref="B6" authorId="0">
      <text>
        <r>
          <rPr>
            <b/>
            <sz val="9"/>
            <color indexed="81"/>
            <rFont val="Tahoma"/>
            <charset val="1"/>
          </rPr>
          <t>Christiano Gaio:</t>
        </r>
        <r>
          <rPr>
            <sz val="9"/>
            <color indexed="81"/>
            <rFont val="Tahoma"/>
            <charset val="1"/>
          </rPr>
          <t xml:space="preserve">
O motivo de a coluna 0 (que representa 0 bar de pressão manométrica) apresentar um valor maior que zero ocorre porque a fórmula utiliza a Pressão Absoluta, e não a pressão do manômetro.
A Explicação Técnica:
Na física e termodinâmica dos gases, a pressão que faz o gás ocupar volume ou ter massa dentro do cilindro é a Pressão Absoluta, que é a soma da pressão do manômetro ($0\text{ bar}$) com a pressão atmosférica ambiente (aproximadamente $1,01325\text{ bar}$).
• Na sua fórmula: ((B$5 + 1) / 1,01325)
• Quando $B\$5 = 0$ (marcado no manômetro da bomba), o cálculo faz: (0 + 1) / 1,01325, o que resulta em aproximadamente 0,987 (quase 1 atmosfera de pressão absoluta).
• Isso significa que o valor exibido na coluna de 0 bar não é o gás que entrou no posto, mas sim a quantidade de ar/gás residual que já existe dentro de um cilindro vazio à pressão atmosférica ao nível do mar antes de iniciar o abastecimento.
Como zerar a coluna de 0 bar na sua planilha?
Se você deseja que a coluna 0 exiba exatamente 0 (considerando que o cilindro estaria totalmente vazio ou referenciado à pressão zero do manômetro), você precisa subtrair a atmosfera base na fórmula, ou seja, considerar o incremento a partir do zero manométrico.</t>
        </r>
      </text>
    </comment>
  </commentList>
</comments>
</file>

<file path=xl/comments4.xml><?xml version="1.0" encoding="utf-8"?>
<comments xmlns="http://schemas.openxmlformats.org/spreadsheetml/2006/main">
  <authors>
    <author>Christiano Gaio</author>
  </authors>
  <commentList>
    <comment ref="B6" authorId="0">
      <text>
        <r>
          <rPr>
            <b/>
            <sz val="9"/>
            <color indexed="81"/>
            <rFont val="Tahoma"/>
            <charset val="1"/>
          </rPr>
          <t>Christiano Gaio:</t>
        </r>
        <r>
          <rPr>
            <sz val="9"/>
            <color indexed="81"/>
            <rFont val="Tahoma"/>
            <charset val="1"/>
          </rPr>
          <t xml:space="preserve">
O motivo de a coluna 0 (que representa 0 bar de pressão manométrica) apresentar um valor maior que zero ocorre porque a fórmula utiliza a Pressão Absoluta, e não a pressão do manômetro.
A Explicação Técnica:
Na física e termodinâmica dos gases, a pressão que faz o gás ocupar volume ou ter massa dentro do cilindro é a Pressão Absoluta, que é a soma da pressão do manômetro ($0\text{ bar}$) com a pressão atmosférica ambiente (aproximadamente $1,01325\text{ bar}$).
• Na sua fórmula: ((B$5 + 1) / 1,01325)
• Quando $B\$5 = 0$ (marcado no manômetro da bomba), o cálculo faz: (0 + 1) / 1,01325, o que resulta em aproximadamente 0,987 (quase 1 atmosfera de pressão absoluta).
• Isso significa que o valor exibido na coluna de 0 bar não é o gás que entrou no posto, mas sim a quantidade de ar/gás residual que já existe dentro de um cilindro vazio à pressão atmosférica ao nível do mar antes de iniciar o abastecimento.
Como zerar a coluna de 0 bar na sua planilha?
Se você deseja que a coluna 0 exiba exatamente 0 (considerando que o cilindro estaria totalmente vazio ou referenciado à pressão zero do manômetro), você precisa subtrair a atmosfera base na fórmula, ou seja, considerar o incremento a partir do zero manométrico.</t>
        </r>
      </text>
    </comment>
  </commentList>
</comments>
</file>

<file path=xl/sharedStrings.xml><?xml version="1.0" encoding="utf-8"?>
<sst xmlns="http://schemas.openxmlformats.org/spreadsheetml/2006/main" count="31" uniqueCount="18">
  <si>
    <t>Volume do cilindro (L)</t>
  </si>
  <si>
    <t>Densidade do GNV (kg/m³)</t>
  </si>
  <si>
    <t>Temp (°C)</t>
  </si>
  <si>
    <t>Litros</t>
  </si>
  <si>
    <t>Kg/m³</t>
  </si>
  <si>
    <t>Litragem do cilindro:</t>
  </si>
  <si>
    <t>Pressão Inicial em bar:</t>
  </si>
  <si>
    <t>Pressão Final em bar:</t>
  </si>
  <si>
    <t>Temperatura ambiente em °C:</t>
  </si>
  <si>
    <t>Resultado em Quilogramas (Kg):</t>
  </si>
  <si>
    <t>Densidade do GNV (kg/m³):</t>
  </si>
  <si>
    <t>Nm³</t>
  </si>
  <si>
    <t>Kg</t>
  </si>
  <si>
    <t>Bar</t>
  </si>
  <si>
    <t>°C</t>
  </si>
  <si>
    <r>
      <t>Volume abastecido (</t>
    </r>
    <r>
      <rPr>
        <b/>
        <sz val="16"/>
        <color indexed="16"/>
        <rFont val="Arial"/>
        <family val="2"/>
      </rPr>
      <t>Nm³</t>
    </r>
    <r>
      <rPr>
        <b/>
        <sz val="16"/>
        <color indexed="16"/>
        <rFont val="Calibri"/>
        <family val="2"/>
      </rPr>
      <t>):</t>
    </r>
  </si>
  <si>
    <t>m³ de capacidade do cilindro
cheio de H²O</t>
  </si>
  <si>
    <t>m³</t>
  </si>
</sst>
</file>

<file path=xl/styles.xml><?xml version="1.0" encoding="utf-8"?>
<styleSheet xmlns="http://schemas.openxmlformats.org/spreadsheetml/2006/main">
  <fonts count="15">
    <font>
      <sz val="11"/>
      <color theme="1"/>
      <name val="Calibri"/>
      <family val="2"/>
      <scheme val="minor"/>
    </font>
    <font>
      <sz val="8"/>
      <name val="Calibri"/>
      <family val="2"/>
    </font>
    <font>
      <b/>
      <sz val="14"/>
      <color indexed="8"/>
      <name val="Calibri"/>
      <family val="2"/>
    </font>
    <font>
      <b/>
      <sz val="14"/>
      <color indexed="13"/>
      <name val="Calibri"/>
      <family val="2"/>
    </font>
    <font>
      <b/>
      <sz val="14"/>
      <color indexed="18"/>
      <name val="Calibri"/>
      <family val="2"/>
    </font>
    <font>
      <b/>
      <sz val="12"/>
      <color indexed="18"/>
      <name val="Calibri"/>
      <family val="2"/>
    </font>
    <font>
      <sz val="11"/>
      <name val="Calibri"/>
      <family val="2"/>
    </font>
    <font>
      <b/>
      <sz val="14"/>
      <color indexed="11"/>
      <name val="Calibri"/>
      <family val="2"/>
    </font>
    <font>
      <b/>
      <sz val="16"/>
      <color indexed="18"/>
      <name val="Calibri"/>
      <family val="2"/>
    </font>
    <font>
      <b/>
      <sz val="16"/>
      <color indexed="58"/>
      <name val="Calibri"/>
      <family val="2"/>
    </font>
    <font>
      <b/>
      <sz val="16"/>
      <color indexed="16"/>
      <name val="Calibri"/>
      <family val="2"/>
    </font>
    <font>
      <b/>
      <sz val="16"/>
      <color indexed="16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4"/>
      <color indexed="16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</fills>
  <borders count="3">
    <border>
      <left/>
      <right/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2" fillId="0" borderId="0" xfId="0" applyFont="1" applyFill="1" applyAlignment="1">
      <alignment horizontal="center"/>
    </xf>
    <xf numFmtId="0" fontId="0" fillId="0" borderId="0" xfId="0" applyFill="1"/>
    <xf numFmtId="0" fontId="2" fillId="2" borderId="0" xfId="0" applyFont="1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0" fontId="7" fillId="7" borderId="0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8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8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/>
    <xf numFmtId="0" fontId="2" fillId="8" borderId="2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14" fillId="0" borderId="0" xfId="0" applyFont="1" applyAlignment="1">
      <alignment wrapText="1"/>
    </xf>
    <xf numFmtId="0" fontId="1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12"/>
  <sheetViews>
    <sheetView tabSelected="1" topLeftCell="A3" workbookViewId="0">
      <selection activeCell="M22" sqref="M22"/>
    </sheetView>
  </sheetViews>
  <sheetFormatPr defaultRowHeight="15"/>
  <cols>
    <col min="1" max="1" width="42.85546875" customWidth="1"/>
    <col min="2" max="2" width="24.28515625" style="20" customWidth="1"/>
    <col min="3" max="3" width="19.85546875" style="20" customWidth="1"/>
  </cols>
  <sheetData>
    <row r="1" spans="1:3" ht="21">
      <c r="A1" s="19" t="s">
        <v>5</v>
      </c>
      <c r="B1" s="21">
        <v>28</v>
      </c>
      <c r="C1" s="21" t="s">
        <v>3</v>
      </c>
    </row>
    <row r="2" spans="1:3" ht="21">
      <c r="A2" s="19" t="s">
        <v>6</v>
      </c>
      <c r="B2" s="21">
        <v>0</v>
      </c>
      <c r="C2" s="21" t="s">
        <v>13</v>
      </c>
    </row>
    <row r="3" spans="1:3" ht="21">
      <c r="A3" s="19" t="s">
        <v>7</v>
      </c>
      <c r="B3" s="21">
        <v>220</v>
      </c>
      <c r="C3" s="21" t="s">
        <v>13</v>
      </c>
    </row>
    <row r="4" spans="1:3" ht="21">
      <c r="A4" s="19" t="s">
        <v>8</v>
      </c>
      <c r="B4" s="21">
        <v>15</v>
      </c>
      <c r="C4" s="21" t="s">
        <v>14</v>
      </c>
    </row>
    <row r="5" spans="1:3" ht="21">
      <c r="A5" s="19" t="s">
        <v>10</v>
      </c>
      <c r="B5" s="21">
        <v>0.78</v>
      </c>
      <c r="C5" s="21" t="s">
        <v>4</v>
      </c>
    </row>
    <row r="10" spans="1:3" ht="21">
      <c r="A10" s="23" t="s">
        <v>15</v>
      </c>
      <c r="B10" s="22">
        <f>($B$1 / 1000) * ((( $B$3 + 1 ) / 1.01325) * (273.15 / (273.15 + $B$4)) - (($B$2 + 1) / 1.01325) * (273.15 / (273.15 + $B$4)))</f>
        <v>5.7629742712803402</v>
      </c>
      <c r="C10" s="22" t="s">
        <v>11</v>
      </c>
    </row>
    <row r="11" spans="1:3" ht="21">
      <c r="A11" s="23" t="s">
        <v>9</v>
      </c>
      <c r="B11" s="22">
        <f>($B$1 / 1000) * ((( $B$3 + 1 ) / 1.01325) * (273.15 / (273.15 + $B$4)) - (($B$2 + 1) / 1.01325) * (273.15 / (273.15 + $B$4))) * $B$5</f>
        <v>4.4951199315986656</v>
      </c>
      <c r="C11" s="22" t="s">
        <v>12</v>
      </c>
    </row>
    <row r="12" spans="1:3" ht="37.5">
      <c r="A12" s="26" t="s">
        <v>16</v>
      </c>
      <c r="B12" s="27">
        <f>B1/1000</f>
        <v>2.8000000000000001E-2</v>
      </c>
      <c r="C12" s="27" t="s">
        <v>17</v>
      </c>
    </row>
  </sheetData>
  <phoneticPr fontId="1" type="noConversion"/>
  <pageMargins left="0.75" right="0.75" top="1" bottom="1" header="0.49212598499999999" footer="0.49212598499999999"/>
  <pageSetup paperSize="9" orientation="portrait" horizontalDpi="0" verticalDpi="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"/>
  <dimension ref="A1:BJ46"/>
  <sheetViews>
    <sheetView workbookViewId="0">
      <pane xSplit="1" ySplit="5" topLeftCell="AI15" activePane="bottomRight" state="frozen"/>
      <selection pane="topRight" activeCell="B1" sqref="B1"/>
      <selection pane="bottomLeft" activeCell="A6" sqref="A6"/>
      <selection pane="bottomRight" activeCell="AQ3" sqref="AQ3"/>
    </sheetView>
  </sheetViews>
  <sheetFormatPr defaultRowHeight="15"/>
  <cols>
    <col min="1" max="1" width="29.28515625" customWidth="1"/>
    <col min="2" max="62" width="12" bestFit="1" customWidth="1"/>
  </cols>
  <sheetData>
    <row r="1" spans="1:62" ht="18.75">
      <c r="A1" s="6" t="s">
        <v>0</v>
      </c>
      <c r="B1" s="5">
        <v>26</v>
      </c>
      <c r="C1" s="6" t="s">
        <v>3</v>
      </c>
    </row>
    <row r="2" spans="1:62" ht="18.75">
      <c r="A2" s="6" t="s">
        <v>1</v>
      </c>
      <c r="B2" s="5">
        <v>0.78</v>
      </c>
      <c r="C2" s="6" t="s">
        <v>4</v>
      </c>
    </row>
    <row r="4" spans="1:62" s="8" customFormat="1"/>
    <row r="5" spans="1:62" ht="19.5" thickBot="1">
      <c r="A5" s="7" t="s">
        <v>2</v>
      </c>
      <c r="B5" s="24">
        <v>0</v>
      </c>
      <c r="C5" s="16">
        <v>5</v>
      </c>
      <c r="D5" s="9">
        <v>10</v>
      </c>
      <c r="E5" s="9">
        <v>15</v>
      </c>
      <c r="F5" s="9">
        <v>20</v>
      </c>
      <c r="G5" s="9">
        <v>25</v>
      </c>
      <c r="H5" s="9">
        <v>30</v>
      </c>
      <c r="I5" s="9">
        <v>35</v>
      </c>
      <c r="J5" s="9">
        <v>40</v>
      </c>
      <c r="K5" s="9">
        <v>45</v>
      </c>
      <c r="L5" s="9">
        <v>50</v>
      </c>
      <c r="M5" s="9">
        <v>55</v>
      </c>
      <c r="N5" s="9">
        <v>60</v>
      </c>
      <c r="O5" s="9">
        <v>65</v>
      </c>
      <c r="P5" s="9">
        <v>70</v>
      </c>
      <c r="Q5" s="9">
        <v>75</v>
      </c>
      <c r="R5" s="9">
        <v>80</v>
      </c>
      <c r="S5" s="9">
        <v>85</v>
      </c>
      <c r="T5" s="9">
        <v>90</v>
      </c>
      <c r="U5" s="9">
        <v>95</v>
      </c>
      <c r="V5" s="9">
        <v>100</v>
      </c>
      <c r="W5" s="9">
        <v>105</v>
      </c>
      <c r="X5" s="9">
        <v>110</v>
      </c>
      <c r="Y5" s="9">
        <v>115</v>
      </c>
      <c r="Z5" s="9">
        <v>120</v>
      </c>
      <c r="AA5" s="9">
        <v>125</v>
      </c>
      <c r="AB5" s="9">
        <v>130</v>
      </c>
      <c r="AC5" s="9">
        <v>135</v>
      </c>
      <c r="AD5" s="9">
        <v>140</v>
      </c>
      <c r="AE5" s="9">
        <v>145</v>
      </c>
      <c r="AF5" s="9">
        <v>150</v>
      </c>
      <c r="AG5" s="9">
        <v>155</v>
      </c>
      <c r="AH5" s="9">
        <v>160</v>
      </c>
      <c r="AI5" s="9">
        <v>165</v>
      </c>
      <c r="AJ5" s="9">
        <v>170</v>
      </c>
      <c r="AK5" s="9">
        <v>175</v>
      </c>
      <c r="AL5" s="15">
        <v>180</v>
      </c>
      <c r="AM5" s="15">
        <v>185</v>
      </c>
      <c r="AN5" s="15">
        <v>190</v>
      </c>
      <c r="AO5" s="15">
        <v>195</v>
      </c>
      <c r="AP5" s="15">
        <v>200</v>
      </c>
      <c r="AQ5" s="15">
        <v>205</v>
      </c>
      <c r="AR5" s="15">
        <v>210</v>
      </c>
      <c r="AS5" s="12">
        <v>215</v>
      </c>
      <c r="AT5" s="12">
        <v>220</v>
      </c>
      <c r="AU5" s="13">
        <v>225</v>
      </c>
      <c r="AV5" s="13">
        <v>230</v>
      </c>
      <c r="AW5" s="13">
        <v>235</v>
      </c>
      <c r="AX5" s="13">
        <v>240</v>
      </c>
      <c r="AY5" s="14">
        <v>245</v>
      </c>
      <c r="AZ5" s="13">
        <v>250</v>
      </c>
      <c r="BA5" s="10">
        <v>255</v>
      </c>
      <c r="BB5" s="11">
        <v>260</v>
      </c>
      <c r="BC5" s="11">
        <v>265</v>
      </c>
      <c r="BD5" s="11">
        <v>270</v>
      </c>
      <c r="BE5" s="11">
        <v>275</v>
      </c>
      <c r="BF5" s="11">
        <v>280</v>
      </c>
      <c r="BG5" s="11">
        <v>285</v>
      </c>
      <c r="BH5" s="11">
        <v>290</v>
      </c>
      <c r="BI5" s="11">
        <v>295</v>
      </c>
      <c r="BJ5" s="11">
        <v>300</v>
      </c>
    </row>
    <row r="6" spans="1:62" ht="19.5" thickBot="1">
      <c r="A6" s="4">
        <v>-20</v>
      </c>
      <c r="B6" s="18">
        <f>($B$1/1000)*((B5+1)/1.01325)*(273.15/(273.15+A6))</f>
        <v>2.7687261891726055E-2</v>
      </c>
      <c r="C6" s="17">
        <f>($B$1/1000)*((C5+1)/1.01325)*(273.15/(273.15+A6))</f>
        <v>0.16612357135035632</v>
      </c>
      <c r="D6" s="17">
        <f>($B$1/1000)*((D5+1)/1.01325)*(273.15/(273.15+A6))</f>
        <v>0.3045598808089866</v>
      </c>
      <c r="E6" s="17">
        <f>($B$1/1000)*((E5+1)/1.01325)*(273.15/(273.15+A6))</f>
        <v>0.44299619026761689</v>
      </c>
      <c r="F6" s="17">
        <f>($B$1/1000)*((F5+1)/1.01325)*(273.15/(273.15+A6))</f>
        <v>0.58143249972624711</v>
      </c>
      <c r="G6" s="17">
        <f>($B$1/1000)*((G5+1)/1.01325)*(273.15/(273.15+A6))</f>
        <v>0.7198688091848775</v>
      </c>
      <c r="H6" s="17">
        <f>($B$1/1000)*((H5+1)/1.01325)*(273.15/(273.15+A6))</f>
        <v>0.85830511864350778</v>
      </c>
      <c r="I6" s="17">
        <f>($B$1/1000)*((I5+1)/1.01325)*(273.15/(273.15+A6))</f>
        <v>0.99674142810213806</v>
      </c>
      <c r="J6" s="17">
        <f>($B$1/1000)*((J5+1)/1.01325)*(273.15/(273.15+A6))</f>
        <v>1.1351777375607681</v>
      </c>
      <c r="K6" s="17">
        <f>($B$1/1000)*((K5+1)/1.01325)*(273.15/(273.15+A6))</f>
        <v>1.2736140470193986</v>
      </c>
      <c r="L6" s="17">
        <f>($B$1/1000)*((L5+1)/1.01325)*(273.15/(273.15+A6))</f>
        <v>1.4120503564780289</v>
      </c>
      <c r="M6" s="17">
        <f>($B$1/1000)*((M5+1)/1.01325)*(273.15/(273.15+A6))</f>
        <v>1.550486665936659</v>
      </c>
      <c r="N6" s="17">
        <f>($B$1/1000)*((N5+1)/1.01325)*(273.15/(273.15+A6))</f>
        <v>1.6889229753952895</v>
      </c>
      <c r="O6" s="17">
        <f>($B$1/1000)*((O5+1)/1.01325)*(273.15/(273.15+A6))</f>
        <v>1.8273592848539195</v>
      </c>
      <c r="P6" s="17">
        <f>($B$1/1000)*((P5+1)/1.01325)*(273.15/(273.15+A6))</f>
        <v>1.9657955943125498</v>
      </c>
      <c r="Q6" s="17">
        <f>($B$1/1000)*((Q5+1)/1.01325)*(273.15/(273.15+A6))</f>
        <v>2.1042319037711805</v>
      </c>
      <c r="R6" s="17">
        <f>($B$1/1000)*((R5+1)/1.01325)*(273.15/(273.15+A6))</f>
        <v>2.2426682132298108</v>
      </c>
      <c r="S6" s="17">
        <f>($B$1/1000)*((S5+1)/1.01325)*(273.15/(273.15+A6))</f>
        <v>2.3811045226884402</v>
      </c>
      <c r="T6" s="17">
        <f>($B$1/1000)*((T5+1)/1.01325)*(273.15/(273.15+A6))</f>
        <v>2.5195408321470714</v>
      </c>
      <c r="U6" s="17">
        <f>($B$1/1000)*((U5+1)/1.01325)*(273.15/(273.15+A6))</f>
        <v>2.6579771416057012</v>
      </c>
      <c r="V6" s="17">
        <f>($B$1/1000)*((V5+1)/1.01325)*(273.15/(273.15+A6))</f>
        <v>2.7964134510643315</v>
      </c>
      <c r="W6" s="17">
        <f>($B$1/1000)*((W5+1)/1.01325)*(273.15/(273.15+A6))</f>
        <v>2.9348497605229618</v>
      </c>
      <c r="X6" s="17">
        <f>($B$1/1000)*((X5+1)/1.01325)*(273.15/(273.15+A6))</f>
        <v>3.073286069981592</v>
      </c>
      <c r="Y6" s="17">
        <f>($B$1/1000)*((Y5+1)/1.01325)*(273.15/(273.15+A6))</f>
        <v>3.2117223794402223</v>
      </c>
      <c r="Z6" s="17">
        <f>($B$1/1000)*((Z5+1)/1.01325)*(273.15/(273.15+A6))</f>
        <v>3.3501586888988526</v>
      </c>
      <c r="AA6" s="17">
        <f>($B$1/1000)*((AA5+1)/1.01325)*(273.15/(273.15+A6))</f>
        <v>3.4885949983574829</v>
      </c>
      <c r="AB6" s="17">
        <f>($B$1/1000)*((AB5+1)/1.01325)*(273.15/(273.15+A6))</f>
        <v>3.6270313078161127</v>
      </c>
      <c r="AC6" s="17">
        <f>($B$1/1000)*((AC5+1)/1.01325)*(273.15/(273.15+A6))</f>
        <v>3.765467617274743</v>
      </c>
      <c r="AD6" s="17">
        <f>($B$1/1000)*((AD5+1)/1.01325)*(273.15/(273.15+A6))</f>
        <v>3.9039039267333737</v>
      </c>
      <c r="AE6" s="17">
        <f>($B$1/1000)*((AE5+1)/1.01325)*(273.15/(273.15+A6))</f>
        <v>4.042340236192004</v>
      </c>
      <c r="AF6" s="17">
        <f>($B$1/1000)*((AF5+1)/1.01325)*(273.15/(273.15+A6))</f>
        <v>4.1807765456506347</v>
      </c>
      <c r="AG6" s="17">
        <f>($B$1/1000)*((AG5+1)/1.01325)*(273.15/(273.15+A6))</f>
        <v>4.3192128551092646</v>
      </c>
      <c r="AH6" s="17">
        <f>($B$1/1000)*((AH5+1)/1.01325)*(273.15/(273.15+A6))</f>
        <v>4.4576491645678953</v>
      </c>
      <c r="AI6" s="17">
        <f>($B$1/1000)*((AI5+1)/1.01325)*(273.15/(273.15+A6))</f>
        <v>4.5960854740265251</v>
      </c>
      <c r="AJ6" s="17">
        <f>($B$1/1000)*((AJ5+1)/1.01325)*(273.15/(273.15+A6))</f>
        <v>4.7345217834851558</v>
      </c>
      <c r="AK6" s="17">
        <f>($B$1/1000)*((AK5+1)/1.01325)*(273.15/(273.15+A6))</f>
        <v>4.8729580929437857</v>
      </c>
      <c r="AL6" s="17">
        <f>($B$1/1000)*((AL5+1)/1.01325)*(273.15/(273.15+A6))</f>
        <v>5.0113944024024164</v>
      </c>
      <c r="AM6" s="17">
        <f>($B$1/1000)*((AM5+1)/1.01325)*(273.15/(273.15+A6))</f>
        <v>5.1498307118610462</v>
      </c>
      <c r="AN6" s="17">
        <f>($B$1/1000)*((AN5+1)/1.01325)*(273.15/(273.15+A6))</f>
        <v>5.288267021319677</v>
      </c>
      <c r="AO6" s="17">
        <f>($B$1/1000)*((AO5+1)/1.01325)*(273.15/(273.15+A6))</f>
        <v>5.4267033307783068</v>
      </c>
      <c r="AP6" s="17">
        <f>($B$1/1000)*((AP5+1)/1.01325)*(273.15/(273.15+A6))</f>
        <v>5.5651396402369375</v>
      </c>
      <c r="AQ6" s="17">
        <f>($B$1/1000)*((AQ5+1)/1.01325)*(273.15/(273.15+A6))</f>
        <v>5.7035759496955674</v>
      </c>
      <c r="AR6" s="17">
        <f>($B$1/1000)*((AR5+1)/1.01325)*(273.15/(273.15+A6))</f>
        <v>5.8420122591541981</v>
      </c>
      <c r="AS6" s="17">
        <f>($B$1/1000)*((AS5+1)/1.01325)*(273.15/(273.15+A6))</f>
        <v>5.9804485686128279</v>
      </c>
      <c r="AT6" s="17">
        <f>($B$1/1000)*((AT5+1)/1.01325)*(273.15/(273.15+A6))</f>
        <v>6.1188848780714586</v>
      </c>
      <c r="AU6" s="17">
        <f>($B$1/1000)*((AU5+1)/1.01325)*(273.15/(273.15+A6))</f>
        <v>6.2573211875300885</v>
      </c>
      <c r="AV6" s="17">
        <f>($B$1/1000)*((AV5+1)/1.01325)*(273.15/(273.15+A6))</f>
        <v>6.3957574969887183</v>
      </c>
      <c r="AW6" s="17">
        <f>($B$1/1000)*((AW5+1)/1.01325)*(273.15/(273.15+A6))</f>
        <v>6.534193806447349</v>
      </c>
      <c r="AX6" s="17">
        <f>($B$1/1000)*((AX5+1)/1.01325)*(273.15/(273.15+A6))</f>
        <v>6.6726301159059789</v>
      </c>
      <c r="AY6" s="17">
        <f>($B$1/1000)*((AY5+1)/1.01325)*(273.15/(273.15+A6))</f>
        <v>6.8110664253646096</v>
      </c>
      <c r="AZ6" s="17">
        <f>($B$1/1000)*((AZ5+1)/1.01325)*(273.15/(273.15+A6))</f>
        <v>6.9495027348232394</v>
      </c>
      <c r="BA6" s="17">
        <f>($B$1/1000)*((BA5+1)/1.01325)*(273.15/(273.15+A6))</f>
        <v>7.0879390442818702</v>
      </c>
      <c r="BB6" s="17">
        <f>($B$1/1000)*((BB5+1)/1.01325)*(273.15/(273.15+A6))</f>
        <v>7.2263753537405018</v>
      </c>
      <c r="BC6" s="17">
        <f>($B$1/1000)*((BC5+1)/1.01325)*(273.15/(273.15+A6))</f>
        <v>7.3648116631991307</v>
      </c>
      <c r="BD6" s="17">
        <f>($B$1/1000)*((BD5+1)/1.01325)*(273.15/(273.15+A6))</f>
        <v>7.5032479726577597</v>
      </c>
      <c r="BE6" s="17">
        <f>($B$1/1000)*((BE5+1)/1.01325)*(273.15/(273.15+A6))</f>
        <v>7.6416842821163913</v>
      </c>
      <c r="BF6" s="17">
        <f>($B$1/1000)*((BF5+1)/1.01325)*(273.15/(273.15+A6))</f>
        <v>7.7801205915750211</v>
      </c>
      <c r="BG6" s="17">
        <f>($B$1/1000)*((BG5+1)/1.01325)*(273.15/(273.15+A6))</f>
        <v>7.9185569010336518</v>
      </c>
      <c r="BH6" s="17">
        <f>($B$1/1000)*((BH5+1)/1.01325)*(273.15/(273.15+A6))</f>
        <v>8.0569932104922817</v>
      </c>
      <c r="BI6" s="17">
        <f>($B$1/1000)*((BI5+1)/1.01325)*(273.15/(273.15+A6))</f>
        <v>8.1954295199509133</v>
      </c>
      <c r="BJ6" s="17">
        <f>($B$1/1000)*((BJ5+1)/1.01325)*(273.15/(273.15+A6))</f>
        <v>8.3338658294095431</v>
      </c>
    </row>
    <row r="7" spans="1:62" ht="18.75">
      <c r="A7" s="4">
        <v>-18</v>
      </c>
      <c r="B7" s="17">
        <f>($B$1/1000)*((B5+1)/1.01325)*(273.15/(273.15+A7))</f>
        <v>2.7470234559633357E-2</v>
      </c>
      <c r="C7" s="17">
        <f>($B$1/1000)*((C5+1)/1.01325)*(273.15/(273.15+A7))</f>
        <v>0.16482140735780015</v>
      </c>
      <c r="D7" s="17">
        <f>($B$1/1000)*((D5+1)/1.01325)*(273.15/(273.15+A7))</f>
        <v>0.30217258015596693</v>
      </c>
      <c r="E7" s="17">
        <f>($B$1/1000)*((E5+1)/1.01325)*(273.15/(273.15+A7))</f>
        <v>0.43952375295413371</v>
      </c>
      <c r="F7" s="17">
        <f>($B$1/1000)*((F5+1)/1.01325)*(273.15/(273.15+A7))</f>
        <v>0.57687492575230048</v>
      </c>
      <c r="G7" s="17">
        <f>($B$1/1000)*((G5+1)/1.01325)*(273.15/(273.15+A7))</f>
        <v>0.71422609855046737</v>
      </c>
      <c r="H7" s="17">
        <f>($B$1/1000)*((H5+1)/1.01325)*(273.15/(273.15+A7))</f>
        <v>0.85157727134863415</v>
      </c>
      <c r="I7" s="17">
        <f>($B$1/1000)*((I5+1)/1.01325)*(273.15/(273.15+A7))</f>
        <v>0.98892844414680092</v>
      </c>
      <c r="J7" s="17">
        <f>($B$1/1000)*((J5+1)/1.01325)*(273.15/(273.15+A7))</f>
        <v>1.1262796169449676</v>
      </c>
      <c r="K7" s="17">
        <f>($B$1/1000)*((K5+1)/1.01325)*(273.15/(273.15+A7))</f>
        <v>1.2636307897431347</v>
      </c>
      <c r="L7" s="17">
        <f>($B$1/1000)*((L5+1)/1.01325)*(273.15/(273.15+A7))</f>
        <v>1.4009819625413014</v>
      </c>
      <c r="M7" s="17">
        <f>($B$1/1000)*((M5+1)/1.01325)*(273.15/(273.15+A7))</f>
        <v>1.538333135339468</v>
      </c>
      <c r="N7" s="17">
        <f>($B$1/1000)*((N5+1)/1.01325)*(273.15/(273.15+A7))</f>
        <v>1.6756843081376349</v>
      </c>
      <c r="O7" s="17">
        <f>($B$1/1000)*((O5+1)/1.01325)*(273.15/(273.15+A7))</f>
        <v>1.8130354809358016</v>
      </c>
      <c r="P7" s="17">
        <f>($B$1/1000)*((P5+1)/1.01325)*(273.15/(273.15+A7))</f>
        <v>1.9503866537339682</v>
      </c>
      <c r="Q7" s="17">
        <f>($B$1/1000)*((Q5+1)/1.01325)*(273.15/(273.15+A7))</f>
        <v>2.0877378265321354</v>
      </c>
      <c r="R7" s="17">
        <f>($B$1/1000)*((R5+1)/1.01325)*(273.15/(273.15+A7))</f>
        <v>2.225088999330302</v>
      </c>
      <c r="S7" s="17">
        <f>($B$1/1000)*((S5+1)/1.01325)*(273.15/(273.15+A7))</f>
        <v>2.3624401721284682</v>
      </c>
      <c r="T7" s="17">
        <f>($B$1/1000)*((T5+1)/1.01325)*(273.15/(273.15+A7))</f>
        <v>2.4997913449266358</v>
      </c>
      <c r="U7" s="17">
        <f>($B$1/1000)*((U5+1)/1.01325)*(273.15/(273.15+A7))</f>
        <v>2.6371425177248025</v>
      </c>
      <c r="V7" s="17">
        <f>($B$1/1000)*((V5+1)/1.01325)*(273.15/(273.15+A7))</f>
        <v>2.7744936905229691</v>
      </c>
      <c r="W7" s="17">
        <f>($B$1/1000)*((W5+1)/1.01325)*(273.15/(273.15+A7))</f>
        <v>2.9118448633211358</v>
      </c>
      <c r="X7" s="17">
        <f>($B$1/1000)*((X5+1)/1.01325)*(273.15/(273.15+A7))</f>
        <v>3.0491960361193029</v>
      </c>
      <c r="Y7" s="17">
        <f>($B$1/1000)*((Y5+1)/1.01325)*(273.15/(273.15+A7))</f>
        <v>3.1865472089174696</v>
      </c>
      <c r="Z7" s="17">
        <f>($B$1/1000)*((Z5+1)/1.01325)*(273.15/(273.15+A7))</f>
        <v>3.3238983817156362</v>
      </c>
      <c r="AA7" s="17">
        <f>($B$1/1000)*((AA5+1)/1.01325)*(273.15/(273.15+A7))</f>
        <v>3.4612495545138033</v>
      </c>
      <c r="AB7" s="17">
        <f>($B$1/1000)*((AB5+1)/1.01325)*(273.15/(273.15+A7))</f>
        <v>3.5986007273119696</v>
      </c>
      <c r="AC7" s="17">
        <f>($B$1/1000)*((AC5+1)/1.01325)*(273.15/(273.15+A7))</f>
        <v>3.7359519001101362</v>
      </c>
      <c r="AD7" s="17">
        <f>($B$1/1000)*((AD5+1)/1.01325)*(273.15/(273.15+A7))</f>
        <v>3.8733030729083033</v>
      </c>
      <c r="AE7" s="17">
        <f>($B$1/1000)*((AE5+1)/1.01325)*(273.15/(273.15+A7))</f>
        <v>4.01065424570647</v>
      </c>
      <c r="AF7" s="17">
        <f>($B$1/1000)*((AF5+1)/1.01325)*(273.15/(273.15+A7))</f>
        <v>4.1480054185046367</v>
      </c>
      <c r="AG7" s="17">
        <f>($B$1/1000)*((AG5+1)/1.01325)*(273.15/(273.15+A7))</f>
        <v>4.2853565913028042</v>
      </c>
      <c r="AH7" s="17">
        <f>($B$1/1000)*((AH5+1)/1.01325)*(273.15/(273.15+A7))</f>
        <v>4.4227077641009709</v>
      </c>
      <c r="AI7" s="17">
        <f>($B$1/1000)*((AI5+1)/1.01325)*(273.15/(273.15+A7))</f>
        <v>4.5600589368991375</v>
      </c>
      <c r="AJ7" s="17">
        <f>($B$1/1000)*((AJ5+1)/1.01325)*(273.15/(273.15+A7))</f>
        <v>4.6974101096973042</v>
      </c>
      <c r="AK7" s="17">
        <f>($B$1/1000)*((AK5+1)/1.01325)*(273.15/(273.15+A7))</f>
        <v>4.8347612824954709</v>
      </c>
      <c r="AL7" s="17">
        <f>($B$1/1000)*((AL5+1)/1.01325)*(273.15/(273.15+A7))</f>
        <v>4.9721124552936375</v>
      </c>
      <c r="AM7" s="17">
        <f>($B$1/1000)*((AM5+1)/1.01325)*(273.15/(273.15+A7))</f>
        <v>5.1094636280918042</v>
      </c>
      <c r="AN7" s="17">
        <f>($B$1/1000)*((AN5+1)/1.01325)*(273.15/(273.15+A7))</f>
        <v>5.2468148008899718</v>
      </c>
      <c r="AO7" s="17">
        <f>($B$1/1000)*((AO5+1)/1.01325)*(273.15/(273.15+A7))</f>
        <v>5.3841659736881384</v>
      </c>
      <c r="AP7" s="17">
        <f>($B$1/1000)*((AP5+1)/1.01325)*(273.15/(273.15+A7))</f>
        <v>5.5215171464863051</v>
      </c>
      <c r="AQ7" s="17">
        <f>($B$1/1000)*((AQ5+1)/1.01325)*(273.15/(273.15+A7))</f>
        <v>5.6588683192844718</v>
      </c>
      <c r="AR7" s="17">
        <f>($B$1/1000)*((AR5+1)/1.01325)*(273.15/(273.15+A7))</f>
        <v>5.7962194920826384</v>
      </c>
      <c r="AS7" s="17">
        <f>($B$1/1000)*((AS5+1)/1.01325)*(273.15/(273.15+A7))</f>
        <v>5.9335706648808051</v>
      </c>
      <c r="AT7" s="17">
        <f>($B$1/1000)*((AT5+1)/1.01325)*(273.15/(273.15+A7))</f>
        <v>6.0709218376789718</v>
      </c>
      <c r="AU7" s="17">
        <f>($B$1/1000)*((AU5+1)/1.01325)*(273.15/(273.15+A7))</f>
        <v>6.2082730104771384</v>
      </c>
      <c r="AV7" s="17">
        <f>($B$1/1000)*((AV5+1)/1.01325)*(273.15/(273.15+A7))</f>
        <v>6.345624183275306</v>
      </c>
      <c r="AW7" s="17">
        <f>($B$1/1000)*((AW5+1)/1.01325)*(273.15/(273.15+A7))</f>
        <v>6.4829753560734726</v>
      </c>
      <c r="AX7" s="17">
        <f>($B$1/1000)*((AX5+1)/1.01325)*(273.15/(273.15+A7))</f>
        <v>6.6203265288716393</v>
      </c>
      <c r="AY7" s="17">
        <f>($B$1/1000)*((AY5+1)/1.01325)*(273.15/(273.15+A7))</f>
        <v>6.757677701669806</v>
      </c>
      <c r="AZ7" s="17">
        <f>($B$1/1000)*((AZ5+1)/1.01325)*(273.15/(273.15+A7))</f>
        <v>6.8950288744679726</v>
      </c>
      <c r="BA7" s="17">
        <f>($B$1/1000)*((BA5+1)/1.01325)*(273.15/(273.15+A7))</f>
        <v>7.0323800472661393</v>
      </c>
      <c r="BB7" s="17">
        <f>($B$1/1000)*((BB5+1)/1.01325)*(273.15/(273.15+A7))</f>
        <v>7.1697312200643069</v>
      </c>
      <c r="BC7" s="17">
        <f>($B$1/1000)*((BC5+1)/1.01325)*(273.15/(273.15+A7))</f>
        <v>7.3070823928624735</v>
      </c>
      <c r="BD7" s="17">
        <f>($B$1/1000)*((BD5+1)/1.01325)*(273.15/(273.15+A7))</f>
        <v>7.4444335656606393</v>
      </c>
      <c r="BE7" s="17">
        <f>($B$1/1000)*((BE5+1)/1.01325)*(273.15/(273.15+A7))</f>
        <v>7.5817847384588068</v>
      </c>
      <c r="BF7" s="17">
        <f>($B$1/1000)*((BF5+1)/1.01325)*(273.15/(273.15+A7))</f>
        <v>7.7191359112569735</v>
      </c>
      <c r="BG7" s="17">
        <f>($B$1/1000)*((BG5+1)/1.01325)*(273.15/(273.15+A7))</f>
        <v>7.8564870840551402</v>
      </c>
      <c r="BH7" s="17">
        <f>($B$1/1000)*((BH5+1)/1.01325)*(273.15/(273.15+A7))</f>
        <v>7.9938382568533068</v>
      </c>
      <c r="BI7" s="17">
        <f>($B$1/1000)*((BI5+1)/1.01325)*(273.15/(273.15+A7))</f>
        <v>8.1311894296514744</v>
      </c>
      <c r="BJ7" s="17">
        <f>($B$1/1000)*((BJ5+1)/1.01325)*(273.15/(273.15+A7))</f>
        <v>8.2685406024496402</v>
      </c>
    </row>
    <row r="8" spans="1:62" ht="18.75">
      <c r="A8" s="4">
        <v>-16</v>
      </c>
      <c r="B8" s="17">
        <f>($B$1/1000)*((B5+1)/1.01325)*(273.15/(273.15+A8))</f>
        <v>2.7256583114487462E-2</v>
      </c>
      <c r="C8" s="17">
        <f>($B$1/1000)*((C5+1)/1.01325)*(273.15/(273.15+A8))</f>
        <v>0.16353949868692477</v>
      </c>
      <c r="D8" s="17">
        <f>($B$1/1000)*((D5+1)/1.01325)*(273.15/(273.15+A8))</f>
        <v>0.29982241425936207</v>
      </c>
      <c r="E8" s="17">
        <f>($B$1/1000)*((E5+1)/1.01325)*(273.15/(273.15+A8))</f>
        <v>0.43610532983179939</v>
      </c>
      <c r="F8" s="17">
        <f>($B$1/1000)*((F5+1)/1.01325)*(273.15/(273.15+A8))</f>
        <v>0.57238824540423661</v>
      </c>
      <c r="G8" s="17">
        <f>($B$1/1000)*((G5+1)/1.01325)*(273.15/(273.15+A8))</f>
        <v>0.70867116097667404</v>
      </c>
      <c r="H8" s="17">
        <f>($B$1/1000)*((H5+1)/1.01325)*(273.15/(273.15+A8))</f>
        <v>0.84495407654911137</v>
      </c>
      <c r="I8" s="17">
        <f>($B$1/1000)*((I5+1)/1.01325)*(273.15/(273.15+A8))</f>
        <v>0.98123699212154858</v>
      </c>
      <c r="J8" s="17">
        <f>($B$1/1000)*((J5+1)/1.01325)*(273.15/(273.15+A8))</f>
        <v>1.1175199076939859</v>
      </c>
      <c r="K8" s="17">
        <f>($B$1/1000)*((K5+1)/1.01325)*(273.15/(273.15+A8))</f>
        <v>1.2538028232664233</v>
      </c>
      <c r="L8" s="17">
        <f>($B$1/1000)*((L5+1)/1.01325)*(273.15/(273.15+A8))</f>
        <v>1.3900857388388606</v>
      </c>
      <c r="M8" s="17">
        <f>($B$1/1000)*((M5+1)/1.01325)*(273.15/(273.15+A8))</f>
        <v>1.5263686544112978</v>
      </c>
      <c r="N8" s="17">
        <f>($B$1/1000)*((N5+1)/1.01325)*(273.15/(273.15+A8))</f>
        <v>1.6626515699837352</v>
      </c>
      <c r="O8" s="17">
        <f>($B$1/1000)*((O5+1)/1.01325)*(273.15/(273.15+A8))</f>
        <v>1.7989344855561724</v>
      </c>
      <c r="P8" s="17">
        <f>($B$1/1000)*((P5+1)/1.01325)*(273.15/(273.15+A8))</f>
        <v>1.9352174011286096</v>
      </c>
      <c r="Q8" s="17">
        <f>($B$1/1000)*((Q5+1)/1.01325)*(273.15/(273.15+A8))</f>
        <v>2.0715003167010471</v>
      </c>
      <c r="R8" s="17">
        <f>($B$1/1000)*((R5+1)/1.01325)*(273.15/(273.15+A8))</f>
        <v>2.2077832322734845</v>
      </c>
      <c r="S8" s="17">
        <f>($B$1/1000)*((S5+1)/1.01325)*(273.15/(273.15+A8))</f>
        <v>2.3440661478459215</v>
      </c>
      <c r="T8" s="17">
        <f>($B$1/1000)*((T5+1)/1.01325)*(273.15/(273.15+A8))</f>
        <v>2.4803490634183589</v>
      </c>
      <c r="U8" s="17">
        <f>($B$1/1000)*((U5+1)/1.01325)*(273.15/(273.15+A8))</f>
        <v>2.6166319789907964</v>
      </c>
      <c r="V8" s="17">
        <f>($B$1/1000)*((V5+1)/1.01325)*(273.15/(273.15+A8))</f>
        <v>2.7529148945632338</v>
      </c>
      <c r="W8" s="17">
        <f>($B$1/1000)*((W5+1)/1.01325)*(273.15/(273.15+A8))</f>
        <v>2.8891978101356708</v>
      </c>
      <c r="X8" s="17">
        <f>($B$1/1000)*((X5+1)/1.01325)*(273.15/(273.15+A8))</f>
        <v>3.0254807257081082</v>
      </c>
      <c r="Y8" s="17">
        <f>($B$1/1000)*((Y5+1)/1.01325)*(273.15/(273.15+A8))</f>
        <v>3.1617636412805457</v>
      </c>
      <c r="Z8" s="17">
        <f>($B$1/1000)*((Z5+1)/1.01325)*(273.15/(273.15+A8))</f>
        <v>3.2980465568529826</v>
      </c>
      <c r="AA8" s="17">
        <f>($B$1/1000)*((AA5+1)/1.01325)*(273.15/(273.15+A8))</f>
        <v>3.4343294724254201</v>
      </c>
      <c r="AB8" s="17">
        <f>($B$1/1000)*((AB5+1)/1.01325)*(273.15/(273.15+A8))</f>
        <v>3.5706123879978571</v>
      </c>
      <c r="AC8" s="17">
        <f>($B$1/1000)*((AC5+1)/1.01325)*(273.15/(273.15+A8))</f>
        <v>3.7068953035702941</v>
      </c>
      <c r="AD8" s="17">
        <f>($B$1/1000)*((AD5+1)/1.01325)*(273.15/(273.15+A8))</f>
        <v>3.8431782191427319</v>
      </c>
      <c r="AE8" s="17">
        <f>($B$1/1000)*((AE5+1)/1.01325)*(273.15/(273.15+A8))</f>
        <v>3.9794611347151694</v>
      </c>
      <c r="AF8" s="17">
        <f>($B$1/1000)*((AF5+1)/1.01325)*(273.15/(273.15+A8))</f>
        <v>4.1157440502876064</v>
      </c>
      <c r="AG8" s="17">
        <f>($B$1/1000)*((AG5+1)/1.01325)*(273.15/(273.15+A8))</f>
        <v>4.2520269658600442</v>
      </c>
      <c r="AH8" s="17">
        <f>($B$1/1000)*((AH5+1)/1.01325)*(273.15/(273.15+A8))</f>
        <v>4.3883098814324812</v>
      </c>
      <c r="AI8" s="17">
        <f>($B$1/1000)*((AI5+1)/1.01325)*(273.15/(273.15+A8))</f>
        <v>4.5245927970049182</v>
      </c>
      <c r="AJ8" s="17">
        <f>($B$1/1000)*((AJ5+1)/1.01325)*(273.15/(273.15+A8))</f>
        <v>4.6608757125773561</v>
      </c>
      <c r="AK8" s="17">
        <f>($B$1/1000)*((AK5+1)/1.01325)*(273.15/(273.15+A8))</f>
        <v>4.7971586281497931</v>
      </c>
      <c r="AL8" s="17">
        <f>($B$1/1000)*((AL5+1)/1.01325)*(273.15/(273.15+A8))</f>
        <v>4.9334415437222301</v>
      </c>
      <c r="AM8" s="17">
        <f>($B$1/1000)*((AM5+1)/1.01325)*(273.15/(273.15+A8))</f>
        <v>5.069724459294668</v>
      </c>
      <c r="AN8" s="17">
        <f>($B$1/1000)*((AN5+1)/1.01325)*(273.15/(273.15+A8))</f>
        <v>5.206007374867105</v>
      </c>
      <c r="AO8" s="17">
        <f>($B$1/1000)*((AO5+1)/1.01325)*(273.15/(273.15+A8))</f>
        <v>5.342290290439542</v>
      </c>
      <c r="AP8" s="17">
        <f>($B$1/1000)*((AP5+1)/1.01325)*(273.15/(273.15+A8))</f>
        <v>5.4785732060119798</v>
      </c>
      <c r="AQ8" s="17">
        <f>($B$1/1000)*((AQ5+1)/1.01325)*(273.15/(273.15+A8))</f>
        <v>5.6148561215844168</v>
      </c>
      <c r="AR8" s="17">
        <f>($B$1/1000)*((AR5+1)/1.01325)*(273.15/(273.15+A8))</f>
        <v>5.7511390371568538</v>
      </c>
      <c r="AS8" s="17">
        <f>($B$1/1000)*((AS5+1)/1.01325)*(273.15/(273.15+A8))</f>
        <v>5.8874219527292917</v>
      </c>
      <c r="AT8" s="17">
        <f>($B$1/1000)*((AT5+1)/1.01325)*(273.15/(273.15+A8))</f>
        <v>6.0237048683017287</v>
      </c>
      <c r="AU8" s="17">
        <f>($B$1/1000)*((AU5+1)/1.01325)*(273.15/(273.15+A8))</f>
        <v>6.1599877838741666</v>
      </c>
      <c r="AV8" s="17">
        <f>($B$1/1000)*((AV5+1)/1.01325)*(273.15/(273.15+A8))</f>
        <v>6.2962706994466036</v>
      </c>
      <c r="AW8" s="17">
        <f>($B$1/1000)*((AW5+1)/1.01325)*(273.15/(273.15+A8))</f>
        <v>6.4325536150190405</v>
      </c>
      <c r="AX8" s="17">
        <f>($B$1/1000)*((AX5+1)/1.01325)*(273.15/(273.15+A8))</f>
        <v>6.5688365305914784</v>
      </c>
      <c r="AY8" s="17">
        <f>($B$1/1000)*((AY5+1)/1.01325)*(273.15/(273.15+A8))</f>
        <v>6.7051194461639154</v>
      </c>
      <c r="AZ8" s="17">
        <f>($B$1/1000)*((AZ5+1)/1.01325)*(273.15/(273.15+A8))</f>
        <v>6.8414023617363524</v>
      </c>
      <c r="BA8" s="17">
        <f>($B$1/1000)*((BA5+1)/1.01325)*(273.15/(273.15+A8))</f>
        <v>6.9776852773087903</v>
      </c>
      <c r="BB8" s="17">
        <f>($B$1/1000)*((BB5+1)/1.01325)*(273.15/(273.15+A8))</f>
        <v>7.1139681928812282</v>
      </c>
      <c r="BC8" s="17">
        <f>($B$1/1000)*((BC5+1)/1.01325)*(273.15/(273.15+A8))</f>
        <v>7.2502511084536643</v>
      </c>
      <c r="BD8" s="17">
        <f>($B$1/1000)*((BD5+1)/1.01325)*(273.15/(273.15+A8))</f>
        <v>7.3865340240261013</v>
      </c>
      <c r="BE8" s="17">
        <f>($B$1/1000)*((BE5+1)/1.01325)*(273.15/(273.15+A8))</f>
        <v>7.5228169395985391</v>
      </c>
      <c r="BF8" s="17">
        <f>($B$1/1000)*((BF5+1)/1.01325)*(273.15/(273.15+A8))</f>
        <v>7.6590998551709761</v>
      </c>
      <c r="BG8" s="17">
        <f>($B$1/1000)*((BG5+1)/1.01325)*(273.15/(273.15+A8))</f>
        <v>7.795382770743414</v>
      </c>
      <c r="BH8" s="17">
        <f>($B$1/1000)*((BH5+1)/1.01325)*(273.15/(273.15+A8))</f>
        <v>7.931665686315851</v>
      </c>
      <c r="BI8" s="17">
        <f>($B$1/1000)*((BI5+1)/1.01325)*(273.15/(273.15+A8))</f>
        <v>8.0679486018882898</v>
      </c>
      <c r="BJ8" s="17">
        <f>($B$1/1000)*((BJ5+1)/1.01325)*(273.15/(273.15+A8))</f>
        <v>8.204231517460725</v>
      </c>
    </row>
    <row r="9" spans="1:62" ht="18.75">
      <c r="A9" s="4">
        <v>-14</v>
      </c>
      <c r="B9" s="17">
        <f>($B$1/1000)*((B5+1)/1.01325)*(273.15/(273.15+A9))</f>
        <v>2.7046229395679917E-2</v>
      </c>
      <c r="C9" s="17">
        <f>($B$1/1000)*((C5+1)/1.01325)*(273.15/(273.15+A9))</f>
        <v>0.16227737637407952</v>
      </c>
      <c r="D9" s="17">
        <f>($B$1/1000)*((D5+1)/1.01325)*(273.15/(273.15+A9))</f>
        <v>0.29750852335247913</v>
      </c>
      <c r="E9" s="17">
        <f>($B$1/1000)*((E5+1)/1.01325)*(273.15/(273.15+A9))</f>
        <v>0.43273967033087868</v>
      </c>
      <c r="F9" s="17">
        <f>($B$1/1000)*((F5+1)/1.01325)*(273.15/(273.15+A9))</f>
        <v>0.56797081730927823</v>
      </c>
      <c r="G9" s="17">
        <f>($B$1/1000)*((G5+1)/1.01325)*(273.15/(273.15+A9))</f>
        <v>0.70320196428767789</v>
      </c>
      <c r="H9" s="17">
        <f>($B$1/1000)*((H5+1)/1.01325)*(273.15/(273.15+A9))</f>
        <v>0.83843311126607745</v>
      </c>
      <c r="I9" s="17">
        <f>($B$1/1000)*((I5+1)/1.01325)*(273.15/(273.15+A9))</f>
        <v>0.97366425824447711</v>
      </c>
      <c r="J9" s="17">
        <f>($B$1/1000)*((J5+1)/1.01325)*(273.15/(273.15+A9))</f>
        <v>1.1088954052228766</v>
      </c>
      <c r="K9" s="17">
        <f>($B$1/1000)*((K5+1)/1.01325)*(273.15/(273.15+A9))</f>
        <v>1.2441265522012763</v>
      </c>
      <c r="L9" s="17">
        <f>($B$1/1000)*((L5+1)/1.01325)*(273.15/(273.15+A9))</f>
        <v>1.3793576991796759</v>
      </c>
      <c r="M9" s="17">
        <f>($B$1/1000)*((M5+1)/1.01325)*(273.15/(273.15+A9))</f>
        <v>1.5145888461580752</v>
      </c>
      <c r="N9" s="17">
        <f>($B$1/1000)*((N5+1)/1.01325)*(273.15/(273.15+A9))</f>
        <v>1.6498199931364752</v>
      </c>
      <c r="O9" s="17">
        <f>($B$1/1000)*((O5+1)/1.01325)*(273.15/(273.15+A9))</f>
        <v>1.7850511401148745</v>
      </c>
      <c r="P9" s="17">
        <f>($B$1/1000)*((P5+1)/1.01325)*(273.15/(273.15+A9))</f>
        <v>1.9202822870932741</v>
      </c>
      <c r="Q9" s="17">
        <f>($B$1/1000)*((Q5+1)/1.01325)*(273.15/(273.15+A9))</f>
        <v>2.0555134340716741</v>
      </c>
      <c r="R9" s="17">
        <f>($B$1/1000)*((R5+1)/1.01325)*(273.15/(273.15+A9))</f>
        <v>2.1907445810500734</v>
      </c>
      <c r="S9" s="17">
        <f>($B$1/1000)*((S5+1)/1.01325)*(273.15/(273.15+A9))</f>
        <v>2.3259757280284727</v>
      </c>
      <c r="T9" s="17">
        <f>($B$1/1000)*((T5+1)/1.01325)*(273.15/(273.15+A9))</f>
        <v>2.4612068750068725</v>
      </c>
      <c r="U9" s="17">
        <f>($B$1/1000)*((U5+1)/1.01325)*(273.15/(273.15+A9))</f>
        <v>2.5964380219852723</v>
      </c>
      <c r="V9" s="17">
        <f>($B$1/1000)*((V5+1)/1.01325)*(273.15/(273.15+A9))</f>
        <v>2.7316691689636716</v>
      </c>
      <c r="W9" s="17">
        <f>($B$1/1000)*((W5+1)/1.01325)*(273.15/(273.15+A9))</f>
        <v>2.8669003159420714</v>
      </c>
      <c r="X9" s="17">
        <f>($B$1/1000)*((X5+1)/1.01325)*(273.15/(273.15+A9))</f>
        <v>3.0021314629204712</v>
      </c>
      <c r="Y9" s="17">
        <f>($B$1/1000)*((Y5+1)/1.01325)*(273.15/(273.15+A9))</f>
        <v>3.1373626098988705</v>
      </c>
      <c r="Z9" s="17">
        <f>($B$1/1000)*((Z5+1)/1.01325)*(273.15/(273.15+A9))</f>
        <v>3.2725937568772703</v>
      </c>
      <c r="AA9" s="17">
        <f>($B$1/1000)*((AA5+1)/1.01325)*(273.15/(273.15+A9))</f>
        <v>3.4078249038556696</v>
      </c>
      <c r="AB9" s="17">
        <f>($B$1/1000)*((AB5+1)/1.01325)*(273.15/(273.15+A9))</f>
        <v>3.5430560508340689</v>
      </c>
      <c r="AC9" s="17">
        <f>($B$1/1000)*((AC5+1)/1.01325)*(273.15/(273.15+A9))</f>
        <v>3.6782871978124683</v>
      </c>
      <c r="AD9" s="17">
        <f>($B$1/1000)*((AD5+1)/1.01325)*(273.15/(273.15+A9))</f>
        <v>3.8135183447908685</v>
      </c>
      <c r="AE9" s="17">
        <f>($B$1/1000)*((AE5+1)/1.01325)*(273.15/(273.15+A9))</f>
        <v>3.9487494917692683</v>
      </c>
      <c r="AF9" s="17">
        <f>($B$1/1000)*((AF5+1)/1.01325)*(273.15/(273.15+A9))</f>
        <v>4.0839806387476676</v>
      </c>
      <c r="AG9" s="17">
        <f>($B$1/1000)*((AG5+1)/1.01325)*(273.15/(273.15+A9))</f>
        <v>4.2192117857260669</v>
      </c>
      <c r="AH9" s="17">
        <f>($B$1/1000)*((AH5+1)/1.01325)*(273.15/(273.15+A9))</f>
        <v>4.3544429327044671</v>
      </c>
      <c r="AI9" s="17">
        <f>($B$1/1000)*((AI5+1)/1.01325)*(273.15/(273.15+A9))</f>
        <v>4.4896740796828665</v>
      </c>
      <c r="AJ9" s="17">
        <f>($B$1/1000)*((AJ5+1)/1.01325)*(273.15/(273.15+A9))</f>
        <v>4.6249052266612658</v>
      </c>
      <c r="AK9" s="17">
        <f>($B$1/1000)*((AK5+1)/1.01325)*(273.15/(273.15+A9))</f>
        <v>4.760136373639666</v>
      </c>
      <c r="AL9" s="17">
        <f>($B$1/1000)*((AL5+1)/1.01325)*(273.15/(273.15+A9))</f>
        <v>4.8953675206180653</v>
      </c>
      <c r="AM9" s="17">
        <f>($B$1/1000)*((AM5+1)/1.01325)*(273.15/(273.15+A9))</f>
        <v>5.0305986675964647</v>
      </c>
      <c r="AN9" s="17">
        <f>($B$1/1000)*((AN5+1)/1.01325)*(273.15/(273.15+A9))</f>
        <v>5.165829814574864</v>
      </c>
      <c r="AO9" s="17">
        <f>($B$1/1000)*((AO5+1)/1.01325)*(273.15/(273.15+A9))</f>
        <v>5.3010609615532642</v>
      </c>
      <c r="AP9" s="17">
        <f>($B$1/1000)*((AP5+1)/1.01325)*(273.15/(273.15+A9))</f>
        <v>5.4362921085316636</v>
      </c>
      <c r="AQ9" s="17">
        <f>($B$1/1000)*((AQ5+1)/1.01325)*(273.15/(273.15+A9))</f>
        <v>5.5715232555100629</v>
      </c>
      <c r="AR9" s="17">
        <f>($B$1/1000)*((AR5+1)/1.01325)*(273.15/(273.15+A9))</f>
        <v>5.7067544024884631</v>
      </c>
      <c r="AS9" s="17">
        <f>($B$1/1000)*((AS5+1)/1.01325)*(273.15/(273.15+A9))</f>
        <v>5.8419855494668624</v>
      </c>
      <c r="AT9" s="17">
        <f>($B$1/1000)*((AT5+1)/1.01325)*(273.15/(273.15+A9))</f>
        <v>5.9772166964452618</v>
      </c>
      <c r="AU9" s="17">
        <f>($B$1/1000)*((AU5+1)/1.01325)*(273.15/(273.15+A9))</f>
        <v>6.1124478434236611</v>
      </c>
      <c r="AV9" s="17">
        <f>($B$1/1000)*((AV5+1)/1.01325)*(273.15/(273.15+A9))</f>
        <v>6.2476789904020613</v>
      </c>
      <c r="AW9" s="17">
        <f>($B$1/1000)*((AW5+1)/1.01325)*(273.15/(273.15+A9))</f>
        <v>6.3829101373804606</v>
      </c>
      <c r="AX9" s="17">
        <f>($B$1/1000)*((AX5+1)/1.01325)*(273.15/(273.15+A9))</f>
        <v>6.51814128435886</v>
      </c>
      <c r="AY9" s="17">
        <f>($B$1/1000)*((AY5+1)/1.01325)*(273.15/(273.15+A9))</f>
        <v>6.6533724313372602</v>
      </c>
      <c r="AZ9" s="17">
        <f>($B$1/1000)*((AZ5+1)/1.01325)*(273.15/(273.15+A9))</f>
        <v>6.7886035783156595</v>
      </c>
      <c r="BA9" s="17">
        <f>($B$1/1000)*((BA5+1)/1.01325)*(273.15/(273.15+A9))</f>
        <v>6.9238347252940589</v>
      </c>
      <c r="BB9" s="17">
        <f>($B$1/1000)*((BB5+1)/1.01325)*(273.15/(273.15+A9))</f>
        <v>7.0590658722724591</v>
      </c>
      <c r="BC9" s="17">
        <f>($B$1/1000)*((BC5+1)/1.01325)*(273.15/(273.15+A9))</f>
        <v>7.1942970192508584</v>
      </c>
      <c r="BD9" s="17">
        <f>($B$1/1000)*((BD5+1)/1.01325)*(273.15/(273.15+A9))</f>
        <v>7.3295281662292568</v>
      </c>
      <c r="BE9" s="17">
        <f>($B$1/1000)*((BE5+1)/1.01325)*(273.15/(273.15+A9))</f>
        <v>7.4647593132076571</v>
      </c>
      <c r="BF9" s="17">
        <f>($B$1/1000)*((BF5+1)/1.01325)*(273.15/(273.15+A9))</f>
        <v>7.5999904601860573</v>
      </c>
      <c r="BG9" s="17">
        <f>($B$1/1000)*((BG5+1)/1.01325)*(273.15/(273.15+A9))</f>
        <v>7.7352216071644566</v>
      </c>
      <c r="BH9" s="17">
        <f>($B$1/1000)*((BH5+1)/1.01325)*(273.15/(273.15+A9))</f>
        <v>7.8704527541428559</v>
      </c>
      <c r="BI9" s="17">
        <f>($B$1/1000)*((BI5+1)/1.01325)*(273.15/(273.15+A9))</f>
        <v>8.0056839011212571</v>
      </c>
      <c r="BJ9" s="17">
        <f>($B$1/1000)*((BJ5+1)/1.01325)*(273.15/(273.15+A9))</f>
        <v>8.1409150480996555</v>
      </c>
    </row>
    <row r="10" spans="1:62" ht="18.75">
      <c r="A10" s="4">
        <v>-12</v>
      </c>
      <c r="B10" s="17">
        <f>($B$1/1000)*((B5+1)/1.01325)*(273.15/(273.15+A10))</f>
        <v>2.683909763695367E-2</v>
      </c>
      <c r="C10" s="17">
        <f>($B$1/1000)*((C5+1)/1.01325)*(273.15/(273.15+A10))</f>
        <v>0.16103458582172203</v>
      </c>
      <c r="D10" s="17">
        <f>($B$1/1000)*((D5+1)/1.01325)*(273.15/(273.15+A10))</f>
        <v>0.29523007400649037</v>
      </c>
      <c r="E10" s="17">
        <f>($B$1/1000)*((E5+1)/1.01325)*(273.15/(273.15+A10))</f>
        <v>0.42942556219125871</v>
      </c>
      <c r="F10" s="17">
        <f>($B$1/1000)*((F5+1)/1.01325)*(273.15/(273.15+A10))</f>
        <v>0.56362105037602706</v>
      </c>
      <c r="G10" s="17">
        <f>($B$1/1000)*((G5+1)/1.01325)*(273.15/(273.15+A10))</f>
        <v>0.69781653856079551</v>
      </c>
      <c r="H10" s="17">
        <f>($B$1/1000)*((H5+1)/1.01325)*(273.15/(273.15+A10))</f>
        <v>0.83201202674556385</v>
      </c>
      <c r="I10" s="17">
        <f>($B$1/1000)*((I5+1)/1.01325)*(273.15/(273.15+A10))</f>
        <v>0.96620751493033219</v>
      </c>
      <c r="J10" s="17">
        <f>($B$1/1000)*((J5+1)/1.01325)*(273.15/(273.15+A10))</f>
        <v>1.1004030031151004</v>
      </c>
      <c r="K10" s="17">
        <f>($B$1/1000)*((K5+1)/1.01325)*(273.15/(273.15+A10))</f>
        <v>1.2345984912998689</v>
      </c>
      <c r="L10" s="17">
        <f>($B$1/1000)*((L5+1)/1.01325)*(273.15/(273.15+A10))</f>
        <v>1.3687939794846373</v>
      </c>
      <c r="M10" s="17">
        <f>($B$1/1000)*((M5+1)/1.01325)*(273.15/(273.15+A10))</f>
        <v>1.5029894676694053</v>
      </c>
      <c r="N10" s="17">
        <f>($B$1/1000)*((N5+1)/1.01325)*(273.15/(273.15+A10))</f>
        <v>1.637184955854174</v>
      </c>
      <c r="O10" s="17">
        <f>($B$1/1000)*((O5+1)/1.01325)*(273.15/(273.15+A10))</f>
        <v>1.771380444038942</v>
      </c>
      <c r="P10" s="17">
        <f>($B$1/1000)*((P5+1)/1.01325)*(273.15/(273.15+A10))</f>
        <v>1.9055759322237105</v>
      </c>
      <c r="Q10" s="17">
        <f>($B$1/1000)*((Q5+1)/1.01325)*(273.15/(273.15+A10))</f>
        <v>2.0397714204084791</v>
      </c>
      <c r="R10" s="17">
        <f>($B$1/1000)*((R5+1)/1.01325)*(273.15/(273.15+A10))</f>
        <v>2.1739669085932474</v>
      </c>
      <c r="S10" s="17">
        <f>($B$1/1000)*((S5+1)/1.01325)*(273.15/(273.15+A10))</f>
        <v>2.3081623967780152</v>
      </c>
      <c r="T10" s="17">
        <f>($B$1/1000)*((T5+1)/1.01325)*(273.15/(273.15+A10))</f>
        <v>2.4423578849627843</v>
      </c>
      <c r="U10" s="17">
        <f>($B$1/1000)*((U5+1)/1.01325)*(273.15/(273.15+A10))</f>
        <v>2.5765533731475525</v>
      </c>
      <c r="V10" s="17">
        <f>($B$1/1000)*((V5+1)/1.01325)*(273.15/(273.15+A10))</f>
        <v>2.7107488613323207</v>
      </c>
      <c r="W10" s="17">
        <f>($B$1/1000)*((W5+1)/1.01325)*(273.15/(273.15+A10))</f>
        <v>2.844944349517089</v>
      </c>
      <c r="X10" s="17">
        <f>($B$1/1000)*((X5+1)/1.01325)*(273.15/(273.15+A10))</f>
        <v>2.9791398377018576</v>
      </c>
      <c r="Y10" s="17">
        <f>($B$1/1000)*((Y5+1)/1.01325)*(273.15/(273.15+A10))</f>
        <v>3.1133353258866259</v>
      </c>
      <c r="Z10" s="17">
        <f>($B$1/1000)*((Z5+1)/1.01325)*(273.15/(273.15+A10))</f>
        <v>3.2475308140713941</v>
      </c>
      <c r="AA10" s="17">
        <f>($B$1/1000)*((AA5+1)/1.01325)*(273.15/(273.15+A10))</f>
        <v>3.3817263022561623</v>
      </c>
      <c r="AB10" s="17">
        <f>($B$1/1000)*((AB5+1)/1.01325)*(273.15/(273.15+A10))</f>
        <v>3.5159217904409306</v>
      </c>
      <c r="AC10" s="17">
        <f>($B$1/1000)*((AC5+1)/1.01325)*(273.15/(273.15+A10))</f>
        <v>3.6501172786256988</v>
      </c>
      <c r="AD10" s="17">
        <f>($B$1/1000)*((AD5+1)/1.01325)*(273.15/(273.15+A10))</f>
        <v>3.7843127668104675</v>
      </c>
      <c r="AE10" s="17">
        <f>($B$1/1000)*((AE5+1)/1.01325)*(273.15/(273.15+A10))</f>
        <v>3.9185082549952357</v>
      </c>
      <c r="AF10" s="17">
        <f>($B$1/1000)*((AF5+1)/1.01325)*(273.15/(273.15+A10))</f>
        <v>4.0527037431800039</v>
      </c>
      <c r="AG10" s="17">
        <f>($B$1/1000)*((AG5+1)/1.01325)*(273.15/(273.15+A10))</f>
        <v>4.1868992313647722</v>
      </c>
      <c r="AH10" s="17">
        <f>($B$1/1000)*((AH5+1)/1.01325)*(273.15/(273.15+A10))</f>
        <v>4.3210947195495413</v>
      </c>
      <c r="AI10" s="17">
        <f>($B$1/1000)*((AI5+1)/1.01325)*(273.15/(273.15+A10))</f>
        <v>4.4552902077343095</v>
      </c>
      <c r="AJ10" s="17">
        <f>($B$1/1000)*((AJ5+1)/1.01325)*(273.15/(273.15+A10))</f>
        <v>4.5894856959190777</v>
      </c>
      <c r="AK10" s="17">
        <f>($B$1/1000)*((AK5+1)/1.01325)*(273.15/(273.15+A10))</f>
        <v>4.723681184103846</v>
      </c>
      <c r="AL10" s="17">
        <f>($B$1/1000)*((AL5+1)/1.01325)*(273.15/(273.15+A10))</f>
        <v>4.8578766722886142</v>
      </c>
      <c r="AM10" s="17">
        <f>($B$1/1000)*((AM5+1)/1.01325)*(273.15/(273.15+A10))</f>
        <v>4.9920721604733824</v>
      </c>
      <c r="AN10" s="17">
        <f>($B$1/1000)*((AN5+1)/1.01325)*(273.15/(273.15+A10))</f>
        <v>5.1262676486581507</v>
      </c>
      <c r="AO10" s="17">
        <f>($B$1/1000)*((AO5+1)/1.01325)*(273.15/(273.15+A10))</f>
        <v>5.2604631368429189</v>
      </c>
      <c r="AP10" s="17">
        <f>($B$1/1000)*((AP5+1)/1.01325)*(273.15/(273.15+A10))</f>
        <v>5.394658625027688</v>
      </c>
      <c r="AQ10" s="17">
        <f>($B$1/1000)*((AQ5+1)/1.01325)*(273.15/(273.15+A10))</f>
        <v>5.5288541132124562</v>
      </c>
      <c r="AR10" s="17">
        <f>($B$1/1000)*((AR5+1)/1.01325)*(273.15/(273.15+A10))</f>
        <v>5.6630496013972245</v>
      </c>
      <c r="AS10" s="17">
        <f>($B$1/1000)*((AS5+1)/1.01325)*(273.15/(273.15+A10))</f>
        <v>5.7972450895819927</v>
      </c>
      <c r="AT10" s="17">
        <f>($B$1/1000)*((AT5+1)/1.01325)*(273.15/(273.15+A10))</f>
        <v>5.9314405777667609</v>
      </c>
      <c r="AU10" s="17">
        <f>($B$1/1000)*((AU5+1)/1.01325)*(273.15/(273.15+A10))</f>
        <v>6.0656360659515292</v>
      </c>
      <c r="AV10" s="17">
        <f>($B$1/1000)*((AV5+1)/1.01325)*(273.15/(273.15+A10))</f>
        <v>6.1998315541362974</v>
      </c>
      <c r="AW10" s="17">
        <f>($B$1/1000)*((AW5+1)/1.01325)*(273.15/(273.15+A10))</f>
        <v>6.3340270423210656</v>
      </c>
      <c r="AX10" s="17">
        <f>($B$1/1000)*((AX5+1)/1.01325)*(273.15/(273.15+A10))</f>
        <v>6.4682225305058347</v>
      </c>
      <c r="AY10" s="17">
        <f>($B$1/1000)*((AY5+1)/1.01325)*(273.15/(273.15+A10))</f>
        <v>6.602418018690603</v>
      </c>
      <c r="AZ10" s="17">
        <f>($B$1/1000)*((AZ5+1)/1.01325)*(273.15/(273.15+A10))</f>
        <v>6.7366135068753712</v>
      </c>
      <c r="BA10" s="17">
        <f>($B$1/1000)*((BA5+1)/1.01325)*(273.15/(273.15+A10))</f>
        <v>6.8708089950601394</v>
      </c>
      <c r="BB10" s="17">
        <f>($B$1/1000)*((BB5+1)/1.01325)*(273.15/(273.15+A10))</f>
        <v>7.0050044832449085</v>
      </c>
      <c r="BC10" s="17">
        <f>($B$1/1000)*((BC5+1)/1.01325)*(273.15/(273.15+A10))</f>
        <v>7.1391999714296759</v>
      </c>
      <c r="BD10" s="17">
        <f>($B$1/1000)*((BD5+1)/1.01325)*(273.15/(273.15+A10))</f>
        <v>7.2733954596144432</v>
      </c>
      <c r="BE10" s="17">
        <f>($B$1/1000)*((BE5+1)/1.01325)*(273.15/(273.15+A10))</f>
        <v>7.4075909477992132</v>
      </c>
      <c r="BF10" s="17">
        <f>($B$1/1000)*((BF5+1)/1.01325)*(273.15/(273.15+A10))</f>
        <v>7.5417864359839815</v>
      </c>
      <c r="BG10" s="17">
        <f>($B$1/1000)*((BG5+1)/1.01325)*(273.15/(273.15+A10))</f>
        <v>7.6759819241687497</v>
      </c>
      <c r="BH10" s="17">
        <f>($B$1/1000)*((BH5+1)/1.01325)*(273.15/(273.15+A10))</f>
        <v>7.8101774123535179</v>
      </c>
      <c r="BI10" s="17">
        <f>($B$1/1000)*((BI5+1)/1.01325)*(273.15/(273.15+A10))</f>
        <v>7.944372900538287</v>
      </c>
      <c r="BJ10" s="17">
        <f>($B$1/1000)*((BJ5+1)/1.01325)*(273.15/(273.15+A10))</f>
        <v>8.0785683887230544</v>
      </c>
    </row>
    <row r="11" spans="1:62" ht="18.75">
      <c r="A11" s="4">
        <v>-10</v>
      </c>
      <c r="B11" s="17">
        <f>($B$1/1000)*((B5+1)/1.01325)*(273.15/(273.15+A11))</f>
        <v>2.6635114375414978E-2</v>
      </c>
      <c r="C11" s="17">
        <f>($B$1/1000)*((C5+1)/1.01325)*(273.15/(273.15+A11))</f>
        <v>0.15981068625248987</v>
      </c>
      <c r="D11" s="17">
        <f>($B$1/1000)*((D5+1)/1.01325)*(273.15/(273.15+A11))</f>
        <v>0.29298625812956475</v>
      </c>
      <c r="E11" s="17">
        <f>($B$1/1000)*((E5+1)/1.01325)*(273.15/(273.15+A11))</f>
        <v>0.42616183000663965</v>
      </c>
      <c r="F11" s="17">
        <f>($B$1/1000)*((F5+1)/1.01325)*(273.15/(273.15+A11))</f>
        <v>0.5593374018837145</v>
      </c>
      <c r="G11" s="17">
        <f>($B$1/1000)*((G5+1)/1.01325)*(273.15/(273.15+A11))</f>
        <v>0.69251297376078946</v>
      </c>
      <c r="H11" s="17">
        <f>($B$1/1000)*((H5+1)/1.01325)*(273.15/(273.15+A11))</f>
        <v>0.82568854563786442</v>
      </c>
      <c r="I11" s="17">
        <f>($B$1/1000)*((I5+1)/1.01325)*(273.15/(273.15+A11))</f>
        <v>0.95886411751493927</v>
      </c>
      <c r="J11" s="17">
        <f>($B$1/1000)*((J5+1)/1.01325)*(273.15/(273.15+A11))</f>
        <v>1.0920396893920141</v>
      </c>
      <c r="K11" s="17">
        <f>($B$1/1000)*((K5+1)/1.01325)*(273.15/(273.15+A11))</f>
        <v>1.2252152612690892</v>
      </c>
      <c r="L11" s="17">
        <f>($B$1/1000)*((L5+1)/1.01325)*(273.15/(273.15+A11))</f>
        <v>1.358390833146164</v>
      </c>
      <c r="M11" s="17">
        <f>($B$1/1000)*((M5+1)/1.01325)*(273.15/(273.15+A11))</f>
        <v>1.4915664050232387</v>
      </c>
      <c r="N11" s="17">
        <f>($B$1/1000)*((N5+1)/1.01325)*(273.15/(273.15+A11))</f>
        <v>1.6247419769003137</v>
      </c>
      <c r="O11" s="17">
        <f>($B$1/1000)*((O5+1)/1.01325)*(273.15/(273.15+A11))</f>
        <v>1.7579175487773884</v>
      </c>
      <c r="P11" s="17">
        <f>($B$1/1000)*((P5+1)/1.01325)*(273.15/(273.15+A11))</f>
        <v>1.8910931206544634</v>
      </c>
      <c r="Q11" s="17">
        <f>($B$1/1000)*((Q5+1)/1.01325)*(273.15/(273.15+A11))</f>
        <v>2.0242686925315385</v>
      </c>
      <c r="R11" s="17">
        <f>($B$1/1000)*((R5+1)/1.01325)*(273.15/(273.15+A11))</f>
        <v>2.1574442644086131</v>
      </c>
      <c r="S11" s="17">
        <f>($B$1/1000)*((S5+1)/1.01325)*(273.15/(273.15+A11))</f>
        <v>2.2906198362856878</v>
      </c>
      <c r="T11" s="17">
        <f>($B$1/1000)*((T5+1)/1.01325)*(273.15/(273.15+A11))</f>
        <v>2.4237954081627633</v>
      </c>
      <c r="U11" s="17">
        <f>($B$1/1000)*((U5+1)/1.01325)*(273.15/(273.15+A11))</f>
        <v>2.5569709800398379</v>
      </c>
      <c r="V11" s="17">
        <f>($B$1/1000)*((V5+1)/1.01325)*(273.15/(273.15+A11))</f>
        <v>2.690146551916913</v>
      </c>
      <c r="W11" s="17">
        <f>($B$1/1000)*((W5+1)/1.01325)*(273.15/(273.15+A11))</f>
        <v>2.8233221237939876</v>
      </c>
      <c r="X11" s="17">
        <f>($B$1/1000)*((X5+1)/1.01325)*(273.15/(273.15+A11))</f>
        <v>2.9564976956710627</v>
      </c>
      <c r="Y11" s="17">
        <f>($B$1/1000)*((Y5+1)/1.01325)*(273.15/(273.15+A11))</f>
        <v>3.0896732675481378</v>
      </c>
      <c r="Z11" s="17">
        <f>($B$1/1000)*((Z5+1)/1.01325)*(273.15/(273.15+A11))</f>
        <v>3.2228488394252124</v>
      </c>
      <c r="AA11" s="17">
        <f>($B$1/1000)*((AA5+1)/1.01325)*(273.15/(273.15+A11))</f>
        <v>3.3560244113022875</v>
      </c>
      <c r="AB11" s="17">
        <f>($B$1/1000)*((AB5+1)/1.01325)*(273.15/(273.15+A11))</f>
        <v>3.4891999831793616</v>
      </c>
      <c r="AC11" s="17">
        <f>($B$1/1000)*((AC5+1)/1.01325)*(273.15/(273.15+A11))</f>
        <v>3.6223755550564367</v>
      </c>
      <c r="AD11" s="17">
        <f>($B$1/1000)*((AD5+1)/1.01325)*(273.15/(273.15+A11))</f>
        <v>3.7555511269335122</v>
      </c>
      <c r="AE11" s="17">
        <f>($B$1/1000)*((AE5+1)/1.01325)*(273.15/(273.15+A11))</f>
        <v>3.8887266988105869</v>
      </c>
      <c r="AF11" s="17">
        <f>($B$1/1000)*((AF5+1)/1.01325)*(273.15/(273.15+A11))</f>
        <v>4.0219022706876615</v>
      </c>
      <c r="AG11" s="17">
        <f>($B$1/1000)*((AG5+1)/1.01325)*(273.15/(273.15+A11))</f>
        <v>4.1550778425647366</v>
      </c>
      <c r="AH11" s="17">
        <f>($B$1/1000)*((AH5+1)/1.01325)*(273.15/(273.15+A11))</f>
        <v>4.2882534144418116</v>
      </c>
      <c r="AI11" s="17">
        <f>($B$1/1000)*((AI5+1)/1.01325)*(273.15/(273.15+A11))</f>
        <v>4.4214289863188867</v>
      </c>
      <c r="AJ11" s="17">
        <f>($B$1/1000)*((AJ5+1)/1.01325)*(273.15/(273.15+A11))</f>
        <v>4.5546045581959618</v>
      </c>
      <c r="AK11" s="17">
        <f>($B$1/1000)*((AK5+1)/1.01325)*(273.15/(273.15+A11))</f>
        <v>4.687780130073036</v>
      </c>
      <c r="AL11" s="17">
        <f>($B$1/1000)*((AL5+1)/1.01325)*(273.15/(273.15+A11))</f>
        <v>4.820955701950111</v>
      </c>
      <c r="AM11" s="17">
        <f>($B$1/1000)*((AM5+1)/1.01325)*(273.15/(273.15+A11))</f>
        <v>4.9541312738271861</v>
      </c>
      <c r="AN11" s="17">
        <f>($B$1/1000)*((AN5+1)/1.01325)*(273.15/(273.15+A11))</f>
        <v>5.0873068457042612</v>
      </c>
      <c r="AO11" s="17">
        <f>($B$1/1000)*((AO5+1)/1.01325)*(273.15/(273.15+A11))</f>
        <v>5.2204824175813354</v>
      </c>
      <c r="AP11" s="17">
        <f>($B$1/1000)*((AP5+1)/1.01325)*(273.15/(273.15+A11))</f>
        <v>5.3536579894584104</v>
      </c>
      <c r="AQ11" s="17">
        <f>($B$1/1000)*((AQ5+1)/1.01325)*(273.15/(273.15+A11))</f>
        <v>5.4868335613354855</v>
      </c>
      <c r="AR11" s="17">
        <f>($B$1/1000)*((AR5+1)/1.01325)*(273.15/(273.15+A11))</f>
        <v>5.6200091332125606</v>
      </c>
      <c r="AS11" s="17">
        <f>($B$1/1000)*((AS5+1)/1.01325)*(273.15/(273.15+A11))</f>
        <v>5.7531847050896356</v>
      </c>
      <c r="AT11" s="17">
        <f>($B$1/1000)*((AT5+1)/1.01325)*(273.15/(273.15+A11))</f>
        <v>5.8863602769667098</v>
      </c>
      <c r="AU11" s="17">
        <f>($B$1/1000)*((AU5+1)/1.01325)*(273.15/(273.15+A11))</f>
        <v>6.0195358488437849</v>
      </c>
      <c r="AV11" s="17">
        <f>($B$1/1000)*((AV5+1)/1.01325)*(273.15/(273.15+A11))</f>
        <v>6.15271142072086</v>
      </c>
      <c r="AW11" s="17">
        <f>($B$1/1000)*((AW5+1)/1.01325)*(273.15/(273.15+A11))</f>
        <v>6.285886992597935</v>
      </c>
      <c r="AX11" s="17">
        <f>($B$1/1000)*((AX5+1)/1.01325)*(273.15/(273.15+A11))</f>
        <v>6.4190625644750101</v>
      </c>
      <c r="AY11" s="17">
        <f>($B$1/1000)*((AY5+1)/1.01325)*(273.15/(273.15+A11))</f>
        <v>6.5522381363520843</v>
      </c>
      <c r="AZ11" s="17">
        <f>($B$1/1000)*((AZ5+1)/1.01325)*(273.15/(273.15+A11))</f>
        <v>6.6854137082291594</v>
      </c>
      <c r="BA11" s="17">
        <f>($B$1/1000)*((BA5+1)/1.01325)*(273.15/(273.15+A11))</f>
        <v>6.8185892801062344</v>
      </c>
      <c r="BB11" s="17">
        <f>($B$1/1000)*((BB5+1)/1.01325)*(273.15/(273.15+A11))</f>
        <v>6.9517648519833104</v>
      </c>
      <c r="BC11" s="17">
        <f>($B$1/1000)*((BC5+1)/1.01325)*(273.15/(273.15+A11))</f>
        <v>7.0849404238603846</v>
      </c>
      <c r="BD11" s="17">
        <f>($B$1/1000)*((BD5+1)/1.01325)*(273.15/(273.15+A11))</f>
        <v>7.2181159957374579</v>
      </c>
      <c r="BE11" s="17">
        <f>($B$1/1000)*((BE5+1)/1.01325)*(273.15/(273.15+A11))</f>
        <v>7.3512915676145338</v>
      </c>
      <c r="BF11" s="17">
        <f>($B$1/1000)*((BF5+1)/1.01325)*(273.15/(273.15+A11))</f>
        <v>7.4844671394916089</v>
      </c>
      <c r="BG11" s="17">
        <f>($B$1/1000)*((BG5+1)/1.01325)*(273.15/(273.15+A11))</f>
        <v>7.617642711368684</v>
      </c>
      <c r="BH11" s="17">
        <f>($B$1/1000)*((BH5+1)/1.01325)*(273.15/(273.15+A11))</f>
        <v>7.7508182832457591</v>
      </c>
      <c r="BI11" s="17">
        <f>($B$1/1000)*((BI5+1)/1.01325)*(273.15/(273.15+A11))</f>
        <v>7.8839938551228341</v>
      </c>
      <c r="BJ11" s="17">
        <f>($B$1/1000)*((BJ5+1)/1.01325)*(273.15/(273.15+A11))</f>
        <v>8.0171694269999083</v>
      </c>
    </row>
    <row r="12" spans="1:62" ht="18.75">
      <c r="A12" s="4">
        <v>-8</v>
      </c>
      <c r="B12" s="17">
        <f>($B$1/1000)*((B5+1)/1.01325)*(273.15/(273.15+A12))</f>
        <v>2.6434208364663214E-2</v>
      </c>
      <c r="C12" s="17">
        <f>($B$1/1000)*((C5+1)/1.01325)*(273.15/(273.15+A12))</f>
        <v>0.1586052501879793</v>
      </c>
      <c r="D12" s="17">
        <f>($B$1/1000)*((D5+1)/1.01325)*(273.15/(273.15+A12))</f>
        <v>0.29077629201129535</v>
      </c>
      <c r="E12" s="17">
        <f>($B$1/1000)*((E5+1)/1.01325)*(273.15/(273.15+A12))</f>
        <v>0.42294733383461142</v>
      </c>
      <c r="F12" s="17">
        <f>($B$1/1000)*((F5+1)/1.01325)*(273.15/(273.15+A12))</f>
        <v>0.55511837565792743</v>
      </c>
      <c r="G12" s="17">
        <f>($B$1/1000)*((G5+1)/1.01325)*(273.15/(273.15+A12))</f>
        <v>0.68728941748124361</v>
      </c>
      <c r="H12" s="17">
        <f>($B$1/1000)*((H5+1)/1.01325)*(273.15/(273.15+A12))</f>
        <v>0.81946045930455969</v>
      </c>
      <c r="I12" s="17">
        <f>($B$1/1000)*((I5+1)/1.01325)*(273.15/(273.15+A12))</f>
        <v>0.95163150112787576</v>
      </c>
      <c r="J12" s="17">
        <f>($B$1/1000)*((J5+1)/1.01325)*(273.15/(273.15+A12))</f>
        <v>1.0838025429511917</v>
      </c>
      <c r="K12" s="17">
        <f>($B$1/1000)*((K5+1)/1.01325)*(273.15/(273.15+A12))</f>
        <v>1.2159735847745079</v>
      </c>
      <c r="L12" s="17">
        <f>($B$1/1000)*((L5+1)/1.01325)*(273.15/(273.15+A12))</f>
        <v>1.3481446265978241</v>
      </c>
      <c r="M12" s="17">
        <f>($B$1/1000)*((M5+1)/1.01325)*(273.15/(273.15+A12))</f>
        <v>1.4803156684211398</v>
      </c>
      <c r="N12" s="17">
        <f>($B$1/1000)*((N5+1)/1.01325)*(273.15/(273.15+A12))</f>
        <v>1.6124867102444562</v>
      </c>
      <c r="O12" s="17">
        <f>($B$1/1000)*((O5+1)/1.01325)*(273.15/(273.15+A12))</f>
        <v>1.744657752067772</v>
      </c>
      <c r="P12" s="17">
        <f>($B$1/1000)*((P5+1)/1.01325)*(273.15/(273.15+A12))</f>
        <v>1.8768287938910881</v>
      </c>
      <c r="Q12" s="17">
        <f>($B$1/1000)*((Q5+1)/1.01325)*(273.15/(273.15+A12))</f>
        <v>2.0089998357144045</v>
      </c>
      <c r="R12" s="17">
        <f>($B$1/1000)*((R5+1)/1.01325)*(273.15/(273.15+A12))</f>
        <v>2.1411708775377205</v>
      </c>
      <c r="S12" s="17">
        <f>($B$1/1000)*((S5+1)/1.01325)*(273.15/(273.15+A12))</f>
        <v>2.273341919361036</v>
      </c>
      <c r="T12" s="17">
        <f>($B$1/1000)*((T5+1)/1.01325)*(273.15/(273.15+A12))</f>
        <v>2.4055129611843524</v>
      </c>
      <c r="U12" s="17">
        <f>($B$1/1000)*((U5+1)/1.01325)*(273.15/(273.15+A12))</f>
        <v>2.5376840030076688</v>
      </c>
      <c r="V12" s="17">
        <f>($B$1/1000)*((V5+1)/1.01325)*(273.15/(273.15+A12))</f>
        <v>2.6698550448309848</v>
      </c>
      <c r="W12" s="17">
        <f>($B$1/1000)*((W5+1)/1.01325)*(273.15/(273.15+A12))</f>
        <v>2.8020260866543008</v>
      </c>
      <c r="X12" s="17">
        <f>($B$1/1000)*((X5+1)/1.01325)*(273.15/(273.15+A12))</f>
        <v>2.9341971284776167</v>
      </c>
      <c r="Y12" s="17">
        <f>($B$1/1000)*((Y5+1)/1.01325)*(273.15/(273.15+A12))</f>
        <v>3.0663681703009331</v>
      </c>
      <c r="Z12" s="17">
        <f>($B$1/1000)*((Z5+1)/1.01325)*(273.15/(273.15+A12))</f>
        <v>3.1985392121242491</v>
      </c>
      <c r="AA12" s="17">
        <f>($B$1/1000)*((AA5+1)/1.01325)*(273.15/(273.15+A12))</f>
        <v>3.330710253947565</v>
      </c>
      <c r="AB12" s="17">
        <f>($B$1/1000)*((AB5+1)/1.01325)*(273.15/(273.15+A12))</f>
        <v>3.4628812957708806</v>
      </c>
      <c r="AC12" s="17">
        <f>($B$1/1000)*((AC5+1)/1.01325)*(273.15/(273.15+A12))</f>
        <v>3.5950523375941965</v>
      </c>
      <c r="AD12" s="17">
        <f>($B$1/1000)*((AD5+1)/1.01325)*(273.15/(273.15+A12))</f>
        <v>3.7272233794175134</v>
      </c>
      <c r="AE12" s="17">
        <f>($B$1/1000)*((AE5+1)/1.01325)*(273.15/(273.15+A12))</f>
        <v>3.8593944212408293</v>
      </c>
      <c r="AF12" s="17">
        <f>($B$1/1000)*((AF5+1)/1.01325)*(273.15/(273.15+A12))</f>
        <v>3.9915654630641453</v>
      </c>
      <c r="AG12" s="17">
        <f>($B$1/1000)*((AG5+1)/1.01325)*(273.15/(273.15+A12))</f>
        <v>4.1237365048874617</v>
      </c>
      <c r="AH12" s="17">
        <f>($B$1/1000)*((AH5+1)/1.01325)*(273.15/(273.15+A12))</f>
        <v>4.2559075467107776</v>
      </c>
      <c r="AI12" s="17">
        <f>($B$1/1000)*((AI5+1)/1.01325)*(273.15/(273.15+A12))</f>
        <v>4.3880785885340936</v>
      </c>
      <c r="AJ12" s="17">
        <f>($B$1/1000)*((AJ5+1)/1.01325)*(273.15/(273.15+A12))</f>
        <v>4.5202496303574096</v>
      </c>
      <c r="AK12" s="17">
        <f>($B$1/1000)*((AK5+1)/1.01325)*(273.15/(273.15+A12))</f>
        <v>4.6524206721807255</v>
      </c>
      <c r="AL12" s="17">
        <f>($B$1/1000)*((AL5+1)/1.01325)*(273.15/(273.15+A12))</f>
        <v>4.7845917140040415</v>
      </c>
      <c r="AM12" s="17">
        <f>($B$1/1000)*((AM5+1)/1.01325)*(273.15/(273.15+A12))</f>
        <v>4.9167627558273574</v>
      </c>
      <c r="AN12" s="17">
        <f>($B$1/1000)*((AN5+1)/1.01325)*(273.15/(273.15+A12))</f>
        <v>5.0489337976506743</v>
      </c>
      <c r="AO12" s="17">
        <f>($B$1/1000)*((AO5+1)/1.01325)*(273.15/(273.15+A12))</f>
        <v>5.1811048394739903</v>
      </c>
      <c r="AP12" s="17">
        <f>($B$1/1000)*((AP5+1)/1.01325)*(273.15/(273.15+A12))</f>
        <v>5.3132758812973062</v>
      </c>
      <c r="AQ12" s="17">
        <f>($B$1/1000)*((AQ5+1)/1.01325)*(273.15/(273.15+A12))</f>
        <v>5.4454469231206222</v>
      </c>
      <c r="AR12" s="17">
        <f>($B$1/1000)*((AR5+1)/1.01325)*(273.15/(273.15+A12))</f>
        <v>5.5776179649439381</v>
      </c>
      <c r="AS12" s="17">
        <f>($B$1/1000)*((AS5+1)/1.01325)*(273.15/(273.15+A12))</f>
        <v>5.7097890067672541</v>
      </c>
      <c r="AT12" s="17">
        <f>($B$1/1000)*((AT5+1)/1.01325)*(273.15/(273.15+A12))</f>
        <v>5.8419600485905701</v>
      </c>
      <c r="AU12" s="17">
        <f>($B$1/1000)*((AU5+1)/1.01325)*(273.15/(273.15+A12))</f>
        <v>5.974131090413886</v>
      </c>
      <c r="AV12" s="17">
        <f>($B$1/1000)*((AV5+1)/1.01325)*(273.15/(273.15+A12))</f>
        <v>6.1063021322372029</v>
      </c>
      <c r="AW12" s="17">
        <f>($B$1/1000)*((AW5+1)/1.01325)*(273.15/(273.15+A12))</f>
        <v>6.2384731740605188</v>
      </c>
      <c r="AX12" s="17">
        <f>($B$1/1000)*((AX5+1)/1.01325)*(273.15/(273.15+A12))</f>
        <v>6.3706442158838348</v>
      </c>
      <c r="AY12" s="17">
        <f>($B$1/1000)*((AY5+1)/1.01325)*(273.15/(273.15+A12))</f>
        <v>6.5028152577071507</v>
      </c>
      <c r="AZ12" s="17">
        <f>($B$1/1000)*((AZ5+1)/1.01325)*(273.15/(273.15+A12))</f>
        <v>6.6349862995304667</v>
      </c>
      <c r="BA12" s="17">
        <f>($B$1/1000)*((BA5+1)/1.01325)*(273.15/(273.15+A12))</f>
        <v>6.7671573413537827</v>
      </c>
      <c r="BB12" s="17">
        <f>($B$1/1000)*((BB5+1)/1.01325)*(273.15/(273.15+A12))</f>
        <v>6.8993283831770995</v>
      </c>
      <c r="BC12" s="17">
        <f>($B$1/1000)*((BC5+1)/1.01325)*(273.15/(273.15+A12))</f>
        <v>7.0314994250004146</v>
      </c>
      <c r="BD12" s="17">
        <f>($B$1/1000)*((BD5+1)/1.01325)*(273.15/(273.15+A12))</f>
        <v>7.1636704668237297</v>
      </c>
      <c r="BE12" s="17">
        <f>($B$1/1000)*((BE5+1)/1.01325)*(273.15/(273.15+A12))</f>
        <v>7.2958415086470474</v>
      </c>
      <c r="BF12" s="17">
        <f>($B$1/1000)*((BF5+1)/1.01325)*(273.15/(273.15+A12))</f>
        <v>7.4280125504703634</v>
      </c>
      <c r="BG12" s="17">
        <f>($B$1/1000)*((BG5+1)/1.01325)*(273.15/(273.15+A12))</f>
        <v>7.5601835922936793</v>
      </c>
      <c r="BH12" s="17">
        <f>($B$1/1000)*((BH5+1)/1.01325)*(273.15/(273.15+A12))</f>
        <v>7.6923546341169953</v>
      </c>
      <c r="BI12" s="17">
        <f>($B$1/1000)*((BI5+1)/1.01325)*(273.15/(273.15+A12))</f>
        <v>7.8245256759403121</v>
      </c>
      <c r="BJ12" s="17">
        <f>($B$1/1000)*((BJ5+1)/1.01325)*(273.15/(273.15+A12))</f>
        <v>7.9566967177636272</v>
      </c>
    </row>
    <row r="13" spans="1:62" ht="18.75">
      <c r="A13" s="4">
        <v>-6</v>
      </c>
      <c r="B13" s="17">
        <f>($B$1/1000)*((B5+1)/1.01325)*(273.15/(273.15+A13))</f>
        <v>2.6236310491822765E-2</v>
      </c>
      <c r="C13" s="17">
        <f>($B$1/1000)*((C5+1)/1.01325)*(273.15/(273.15+A13))</f>
        <v>0.1574178629509366</v>
      </c>
      <c r="D13" s="17">
        <f>($B$1/1000)*((D5+1)/1.01325)*(273.15/(273.15+A13))</f>
        <v>0.28859941541005041</v>
      </c>
      <c r="E13" s="17">
        <f>($B$1/1000)*((E5+1)/1.01325)*(273.15/(273.15+A13))</f>
        <v>0.41978096786916425</v>
      </c>
      <c r="F13" s="17">
        <f>($B$1/1000)*((F5+1)/1.01325)*(273.15/(273.15+A13))</f>
        <v>0.55096252032827797</v>
      </c>
      <c r="G13" s="17">
        <f>($B$1/1000)*((G5+1)/1.01325)*(273.15/(273.15+A13))</f>
        <v>0.68214407278739198</v>
      </c>
      <c r="H13" s="17">
        <f>($B$1/1000)*((H5+1)/1.01325)*(273.15/(273.15+A13))</f>
        <v>0.81332562524650576</v>
      </c>
      <c r="I13" s="17">
        <f>($B$1/1000)*((I5+1)/1.01325)*(273.15/(273.15+A13))</f>
        <v>0.94450717770561954</v>
      </c>
      <c r="J13" s="17">
        <f>($B$1/1000)*((J5+1)/1.01325)*(273.15/(273.15+A13))</f>
        <v>1.0756887301647333</v>
      </c>
      <c r="K13" s="17">
        <f>($B$1/1000)*((K5+1)/1.01325)*(273.15/(273.15+A13))</f>
        <v>1.2068702826238473</v>
      </c>
      <c r="L13" s="17">
        <f>($B$1/1000)*((L5+1)/1.01325)*(273.15/(273.15+A13))</f>
        <v>1.3380518350829611</v>
      </c>
      <c r="M13" s="17">
        <f>($B$1/1000)*((M5+1)/1.01325)*(273.15/(273.15+A13))</f>
        <v>1.4692333875420747</v>
      </c>
      <c r="N13" s="17">
        <f>($B$1/1000)*((N5+1)/1.01325)*(273.15/(273.15+A13))</f>
        <v>1.6004149400011889</v>
      </c>
      <c r="O13" s="17">
        <f>($B$1/1000)*((O5+1)/1.01325)*(273.15/(273.15+A13))</f>
        <v>1.7315964924603024</v>
      </c>
      <c r="P13" s="17">
        <f>($B$1/1000)*((P5+1)/1.01325)*(273.15/(273.15+A13))</f>
        <v>1.8627780449194162</v>
      </c>
      <c r="Q13" s="17">
        <f>($B$1/1000)*((Q5+1)/1.01325)*(273.15/(273.15+A13))</f>
        <v>1.9939595973785302</v>
      </c>
      <c r="R13" s="17">
        <f>($B$1/1000)*((R5+1)/1.01325)*(273.15/(273.15+A13))</f>
        <v>2.1251411498376442</v>
      </c>
      <c r="S13" s="17">
        <f>($B$1/1000)*((S5+1)/1.01325)*(273.15/(273.15+A13))</f>
        <v>2.2563227022967576</v>
      </c>
      <c r="T13" s="17">
        <f>($B$1/1000)*((T5+1)/1.01325)*(273.15/(273.15+A13))</f>
        <v>2.3875042547558718</v>
      </c>
      <c r="U13" s="17">
        <f>($B$1/1000)*((U5+1)/1.01325)*(273.15/(273.15+A13))</f>
        <v>2.5186858072149856</v>
      </c>
      <c r="V13" s="17">
        <f>($B$1/1000)*((V5+1)/1.01325)*(273.15/(273.15+A13))</f>
        <v>2.6498673596740994</v>
      </c>
      <c r="W13" s="17">
        <f>($B$1/1000)*((W5+1)/1.01325)*(273.15/(273.15+A13))</f>
        <v>2.7810489121332131</v>
      </c>
      <c r="X13" s="17">
        <f>($B$1/1000)*((X5+1)/1.01325)*(273.15/(273.15+A13))</f>
        <v>2.9122304645923269</v>
      </c>
      <c r="Y13" s="17">
        <f>($B$1/1000)*((Y5+1)/1.01325)*(273.15/(273.15+A13))</f>
        <v>3.0434120170514407</v>
      </c>
      <c r="Z13" s="17">
        <f>($B$1/1000)*((Z5+1)/1.01325)*(273.15/(273.15+A13))</f>
        <v>3.1745935695105545</v>
      </c>
      <c r="AA13" s="17">
        <f>($B$1/1000)*((AA5+1)/1.01325)*(273.15/(273.15+A13))</f>
        <v>3.3057751219696683</v>
      </c>
      <c r="AB13" s="17">
        <f>($B$1/1000)*((AB5+1)/1.01325)*(273.15/(273.15+A13))</f>
        <v>3.4369566744287816</v>
      </c>
      <c r="AC13" s="17">
        <f>($B$1/1000)*((AC5+1)/1.01325)*(273.15/(273.15+A13))</f>
        <v>3.5681382268878958</v>
      </c>
      <c r="AD13" s="17">
        <f>($B$1/1000)*((AD5+1)/1.01325)*(273.15/(273.15+A13))</f>
        <v>3.6993197793470101</v>
      </c>
      <c r="AE13" s="17">
        <f>($B$1/1000)*((AE5+1)/1.01325)*(273.15/(273.15+A13))</f>
        <v>3.8305013318061238</v>
      </c>
      <c r="AF13" s="17">
        <f>($B$1/1000)*((AF5+1)/1.01325)*(273.15/(273.15+A13))</f>
        <v>3.9616828842652376</v>
      </c>
      <c r="AG13" s="17">
        <f>($B$1/1000)*((AG5+1)/1.01325)*(273.15/(273.15+A13))</f>
        <v>4.0928644367243514</v>
      </c>
      <c r="AH13" s="17">
        <f>($B$1/1000)*((AH5+1)/1.01325)*(273.15/(273.15+A13))</f>
        <v>4.2240459891834652</v>
      </c>
      <c r="AI13" s="17">
        <f>($B$1/1000)*((AI5+1)/1.01325)*(273.15/(273.15+A13))</f>
        <v>4.355227541642579</v>
      </c>
      <c r="AJ13" s="17">
        <f>($B$1/1000)*((AJ5+1)/1.01325)*(273.15/(273.15+A13))</f>
        <v>4.4864090941016928</v>
      </c>
      <c r="AK13" s="17">
        <f>($B$1/1000)*((AK5+1)/1.01325)*(273.15/(273.15+A13))</f>
        <v>4.6175906465608065</v>
      </c>
      <c r="AL13" s="17">
        <f>($B$1/1000)*((AL5+1)/1.01325)*(273.15/(273.15+A13))</f>
        <v>4.7487721990199203</v>
      </c>
      <c r="AM13" s="17">
        <f>($B$1/1000)*((AM5+1)/1.01325)*(273.15/(273.15+A13))</f>
        <v>4.8799537514790341</v>
      </c>
      <c r="AN13" s="17">
        <f>($B$1/1000)*((AN5+1)/1.01325)*(273.15/(273.15+A13))</f>
        <v>5.0111353039381479</v>
      </c>
      <c r="AO13" s="17">
        <f>($B$1/1000)*((AO5+1)/1.01325)*(273.15/(273.15+A13))</f>
        <v>5.1423168563972617</v>
      </c>
      <c r="AP13" s="17">
        <f>($B$1/1000)*((AP5+1)/1.01325)*(273.15/(273.15+A13))</f>
        <v>5.2734984088563754</v>
      </c>
      <c r="AQ13" s="17">
        <f>($B$1/1000)*((AQ5+1)/1.01325)*(273.15/(273.15+A13))</f>
        <v>5.4046799613154892</v>
      </c>
      <c r="AR13" s="17">
        <f>($B$1/1000)*((AR5+1)/1.01325)*(273.15/(273.15+A13))</f>
        <v>5.535861513774603</v>
      </c>
      <c r="AS13" s="17">
        <f>($B$1/1000)*((AS5+1)/1.01325)*(273.15/(273.15+A13))</f>
        <v>5.6670430662337168</v>
      </c>
      <c r="AT13" s="17">
        <f>($B$1/1000)*((AT5+1)/1.01325)*(273.15/(273.15+A13))</f>
        <v>5.7982246186928315</v>
      </c>
      <c r="AU13" s="17">
        <f>($B$1/1000)*((AU5+1)/1.01325)*(273.15/(273.15+A13))</f>
        <v>5.9294061711519452</v>
      </c>
      <c r="AV13" s="17">
        <f>($B$1/1000)*((AV5+1)/1.01325)*(273.15/(273.15+A13))</f>
        <v>6.060587723611059</v>
      </c>
      <c r="AW13" s="17">
        <f>($B$1/1000)*((AW5+1)/1.01325)*(273.15/(273.15+A13))</f>
        <v>6.1917692760701728</v>
      </c>
      <c r="AX13" s="17">
        <f>($B$1/1000)*((AX5+1)/1.01325)*(273.15/(273.15+A13))</f>
        <v>6.3229508285292866</v>
      </c>
      <c r="AY13" s="17">
        <f>($B$1/1000)*((AY5+1)/1.01325)*(273.15/(273.15+A13))</f>
        <v>6.4541323809884004</v>
      </c>
      <c r="AZ13" s="17">
        <f>($B$1/1000)*((AZ5+1)/1.01325)*(273.15/(273.15+A13))</f>
        <v>6.5853139334475141</v>
      </c>
      <c r="BA13" s="17">
        <f>($B$1/1000)*((BA5+1)/1.01325)*(273.15/(273.15+A13))</f>
        <v>6.7164954859066279</v>
      </c>
      <c r="BB13" s="17">
        <f>($B$1/1000)*((BB5+1)/1.01325)*(273.15/(273.15+A13))</f>
        <v>6.8476770383657426</v>
      </c>
      <c r="BC13" s="17">
        <f>($B$1/1000)*((BC5+1)/1.01325)*(273.15/(273.15+A13))</f>
        <v>6.9788585908248555</v>
      </c>
      <c r="BD13" s="17">
        <f>($B$1/1000)*((BD5+1)/1.01325)*(273.15/(273.15+A13))</f>
        <v>7.1100401432839684</v>
      </c>
      <c r="BE13" s="17">
        <f>($B$1/1000)*((BE5+1)/1.01325)*(273.15/(273.15+A13))</f>
        <v>7.2412216957430831</v>
      </c>
      <c r="BF13" s="17">
        <f>($B$1/1000)*((BF5+1)/1.01325)*(273.15/(273.15+A13))</f>
        <v>7.3724032482021968</v>
      </c>
      <c r="BG13" s="17">
        <f>($B$1/1000)*((BG5+1)/1.01325)*(273.15/(273.15+A13))</f>
        <v>7.5035848006613106</v>
      </c>
      <c r="BH13" s="17">
        <f>($B$1/1000)*((BH5+1)/1.01325)*(273.15/(273.15+A13))</f>
        <v>7.6347663531204244</v>
      </c>
      <c r="BI13" s="17">
        <f>($B$1/1000)*((BI5+1)/1.01325)*(273.15/(273.15+A13))</f>
        <v>7.7659479055795391</v>
      </c>
      <c r="BJ13" s="17">
        <f>($B$1/1000)*((BJ5+1)/1.01325)*(273.15/(273.15+A13))</f>
        <v>7.897129458038652</v>
      </c>
    </row>
    <row r="14" spans="1:62" ht="18.75">
      <c r="A14" s="4">
        <v>-4</v>
      </c>
      <c r="B14" s="17">
        <f>($B$1/1000)*((B5+1)/1.01325)*(273.15/(273.15+A14))</f>
        <v>2.6041353698274018E-2</v>
      </c>
      <c r="C14" s="17">
        <f>($B$1/1000)*((C5+1)/1.01325)*(273.15/(273.15+A14))</f>
        <v>0.15624812218964412</v>
      </c>
      <c r="D14" s="17">
        <f>($B$1/1000)*((D5+1)/1.01325)*(273.15/(273.15+A14))</f>
        <v>0.28645489068101421</v>
      </c>
      <c r="E14" s="17">
        <f>($B$1/1000)*((E5+1)/1.01325)*(273.15/(273.15+A14))</f>
        <v>0.41666165917238429</v>
      </c>
      <c r="F14" s="17">
        <f>($B$1/1000)*((F5+1)/1.01325)*(273.15/(273.15+A14))</f>
        <v>0.54686842766375432</v>
      </c>
      <c r="G14" s="17">
        <f>($B$1/1000)*((G5+1)/1.01325)*(273.15/(273.15+A14))</f>
        <v>0.67707519615512446</v>
      </c>
      <c r="H14" s="17">
        <f>($B$1/1000)*((H5+1)/1.01325)*(273.15/(273.15+A14))</f>
        <v>0.8072819646464946</v>
      </c>
      <c r="I14" s="17">
        <f>($B$1/1000)*((I5+1)/1.01325)*(273.15/(273.15+A14))</f>
        <v>0.93748873313786463</v>
      </c>
      <c r="J14" s="17">
        <f>($B$1/1000)*((J5+1)/1.01325)*(273.15/(273.15+A14))</f>
        <v>1.0676955016292347</v>
      </c>
      <c r="K14" s="17">
        <f>($B$1/1000)*((K5+1)/1.01325)*(273.15/(273.15+A14))</f>
        <v>1.197902270120605</v>
      </c>
      <c r="L14" s="17">
        <f>($B$1/1000)*((L5+1)/1.01325)*(273.15/(273.15+A14))</f>
        <v>1.3281090386119752</v>
      </c>
      <c r="M14" s="17">
        <f>($B$1/1000)*((M5+1)/1.01325)*(273.15/(273.15+A14))</f>
        <v>1.4583158071033449</v>
      </c>
      <c r="N14" s="17">
        <f>($B$1/1000)*((N5+1)/1.01325)*(273.15/(273.15+A14))</f>
        <v>1.5885225755947152</v>
      </c>
      <c r="O14" s="17">
        <f>($B$1/1000)*((O5+1)/1.01325)*(273.15/(273.15+A14))</f>
        <v>1.7187293440860851</v>
      </c>
      <c r="P14" s="17">
        <f>($B$1/1000)*((P5+1)/1.01325)*(273.15/(273.15+A14))</f>
        <v>1.8489361125774553</v>
      </c>
      <c r="Q14" s="17">
        <f>($B$1/1000)*((Q5+1)/1.01325)*(273.15/(273.15+A14))</f>
        <v>1.9791428810688254</v>
      </c>
      <c r="R14" s="17">
        <f>($B$1/1000)*((R5+1)/1.01325)*(273.15/(273.15+A14))</f>
        <v>2.1093496495601958</v>
      </c>
      <c r="S14" s="17">
        <f>($B$1/1000)*((S5+1)/1.01325)*(273.15/(273.15+A14))</f>
        <v>2.2395564180515652</v>
      </c>
      <c r="T14" s="17">
        <f>($B$1/1000)*((T5+1)/1.01325)*(273.15/(273.15+A14))</f>
        <v>2.3697631865429356</v>
      </c>
      <c r="U14" s="17">
        <f>($B$1/1000)*((U5+1)/1.01325)*(273.15/(273.15+A14))</f>
        <v>2.499969955034306</v>
      </c>
      <c r="V14" s="17">
        <f>($B$1/1000)*((V5+1)/1.01325)*(273.15/(273.15+A14))</f>
        <v>2.6301767235256759</v>
      </c>
      <c r="W14" s="17">
        <f>($B$1/1000)*((W5+1)/1.01325)*(273.15/(273.15+A14))</f>
        <v>2.7603834920170458</v>
      </c>
      <c r="X14" s="17">
        <f>($B$1/1000)*((X5+1)/1.01325)*(273.15/(273.15+A14))</f>
        <v>2.8905902605084162</v>
      </c>
      <c r="Y14" s="17">
        <f>($B$1/1000)*((Y5+1)/1.01325)*(273.15/(273.15+A14))</f>
        <v>3.0207970289997861</v>
      </c>
      <c r="Z14" s="17">
        <f>($B$1/1000)*((Z5+1)/1.01325)*(273.15/(273.15+A14))</f>
        <v>3.1510037974911564</v>
      </c>
      <c r="AA14" s="17">
        <f>($B$1/1000)*((AA5+1)/1.01325)*(273.15/(273.15+A14))</f>
        <v>3.2812105659825264</v>
      </c>
      <c r="AB14" s="17">
        <f>($B$1/1000)*((AB5+1)/1.01325)*(273.15/(273.15+A14))</f>
        <v>3.4114173344738958</v>
      </c>
      <c r="AC14" s="17">
        <f>($B$1/1000)*((AC5+1)/1.01325)*(273.15/(273.15+A14))</f>
        <v>3.5416241029652662</v>
      </c>
      <c r="AD14" s="17">
        <f>($B$1/1000)*((AD5+1)/1.01325)*(273.15/(273.15+A14))</f>
        <v>3.6718308714566366</v>
      </c>
      <c r="AE14" s="17">
        <f>($B$1/1000)*((AE5+1)/1.01325)*(273.15/(273.15+A14))</f>
        <v>3.8020376399480065</v>
      </c>
      <c r="AF14" s="17">
        <f>($B$1/1000)*((AF5+1)/1.01325)*(273.15/(273.15+A14))</f>
        <v>3.9322444084393768</v>
      </c>
      <c r="AG14" s="17">
        <f>($B$1/1000)*((AG5+1)/1.01325)*(273.15/(273.15+A14))</f>
        <v>4.0624511769307468</v>
      </c>
      <c r="AH14" s="17">
        <f>($B$1/1000)*((AH5+1)/1.01325)*(273.15/(273.15+A14))</f>
        <v>4.1926579454221171</v>
      </c>
      <c r="AI14" s="17">
        <f>($B$1/1000)*((AI5+1)/1.01325)*(273.15/(273.15+A14))</f>
        <v>4.3228647139134866</v>
      </c>
      <c r="AJ14" s="17">
        <f>($B$1/1000)*((AJ5+1)/1.01325)*(273.15/(273.15+A14))</f>
        <v>4.453071482404857</v>
      </c>
      <c r="AK14" s="17">
        <f>($B$1/1000)*((AK5+1)/1.01325)*(273.15/(273.15+A14))</f>
        <v>4.5832782508962273</v>
      </c>
      <c r="AL14" s="17">
        <f>($B$1/1000)*((AL5+1)/1.01325)*(273.15/(273.15+A14))</f>
        <v>4.7134850193875977</v>
      </c>
      <c r="AM14" s="17">
        <f>($B$1/1000)*((AM5+1)/1.01325)*(273.15/(273.15+A14))</f>
        <v>4.8436917878789671</v>
      </c>
      <c r="AN14" s="17">
        <f>($B$1/1000)*((AN5+1)/1.01325)*(273.15/(273.15+A14))</f>
        <v>4.9738985563703375</v>
      </c>
      <c r="AO14" s="17">
        <f>($B$1/1000)*((AO5+1)/1.01325)*(273.15/(273.15+A14))</f>
        <v>5.1041053248617079</v>
      </c>
      <c r="AP14" s="17">
        <f>($B$1/1000)*((AP5+1)/1.01325)*(273.15/(273.15+A14))</f>
        <v>5.2343120933530773</v>
      </c>
      <c r="AQ14" s="17">
        <f>($B$1/1000)*((AQ5+1)/1.01325)*(273.15/(273.15+A14))</f>
        <v>5.3645188618444477</v>
      </c>
      <c r="AR14" s="17">
        <f>($B$1/1000)*((AR5+1)/1.01325)*(273.15/(273.15+A14))</f>
        <v>5.4947256303358181</v>
      </c>
      <c r="AS14" s="17">
        <f>($B$1/1000)*((AS5+1)/1.01325)*(273.15/(273.15+A14))</f>
        <v>5.6249323988271875</v>
      </c>
      <c r="AT14" s="17">
        <f>($B$1/1000)*((AT5+1)/1.01325)*(273.15/(273.15+A14))</f>
        <v>5.7551391673185579</v>
      </c>
      <c r="AU14" s="17">
        <f>($B$1/1000)*((AU5+1)/1.01325)*(273.15/(273.15+A14))</f>
        <v>5.8853459358099283</v>
      </c>
      <c r="AV14" s="17">
        <f>($B$1/1000)*((AV5+1)/1.01325)*(273.15/(273.15+A14))</f>
        <v>6.0155527043012977</v>
      </c>
      <c r="AW14" s="17">
        <f>($B$1/1000)*((AW5+1)/1.01325)*(273.15/(273.15+A14))</f>
        <v>6.1457594727926681</v>
      </c>
      <c r="AX14" s="17">
        <f>($B$1/1000)*((AX5+1)/1.01325)*(273.15/(273.15+A14))</f>
        <v>6.2759662412840385</v>
      </c>
      <c r="AY14" s="17">
        <f>($B$1/1000)*((AY5+1)/1.01325)*(273.15/(273.15+A14))</f>
        <v>6.4061730097754079</v>
      </c>
      <c r="AZ14" s="17">
        <f>($B$1/1000)*((AZ5+1)/1.01325)*(273.15/(273.15+A14))</f>
        <v>6.5363797782667783</v>
      </c>
      <c r="BA14" s="17">
        <f>($B$1/1000)*((BA5+1)/1.01325)*(273.15/(273.15+A14))</f>
        <v>6.6665865467581487</v>
      </c>
      <c r="BB14" s="17">
        <f>($B$1/1000)*((BB5+1)/1.01325)*(273.15/(273.15+A14))</f>
        <v>6.7967933152495199</v>
      </c>
      <c r="BC14" s="17">
        <f>($B$1/1000)*((BC5+1)/1.01325)*(273.15/(273.15+A14))</f>
        <v>6.9270000837408885</v>
      </c>
      <c r="BD14" s="17">
        <f>($B$1/1000)*((BD5+1)/1.01325)*(273.15/(273.15+A14))</f>
        <v>7.057206852232258</v>
      </c>
      <c r="BE14" s="17">
        <f>($B$1/1000)*((BE5+1)/1.01325)*(273.15/(273.15+A14))</f>
        <v>7.1874136207236292</v>
      </c>
      <c r="BF14" s="17">
        <f>($B$1/1000)*((BF5+1)/1.01325)*(273.15/(273.15+A14))</f>
        <v>7.3176203892149987</v>
      </c>
      <c r="BG14" s="17">
        <f>($B$1/1000)*((BG5+1)/1.01325)*(273.15/(273.15+A14))</f>
        <v>7.4478271577063691</v>
      </c>
      <c r="BH14" s="17">
        <f>($B$1/1000)*((BH5+1)/1.01325)*(273.15/(273.15+A14))</f>
        <v>7.5780339261977394</v>
      </c>
      <c r="BI14" s="17">
        <f>($B$1/1000)*((BI5+1)/1.01325)*(273.15/(273.15+A14))</f>
        <v>7.7082406946891098</v>
      </c>
      <c r="BJ14" s="17">
        <f>($B$1/1000)*((BJ5+1)/1.01325)*(273.15/(273.15+A14))</f>
        <v>7.8384474631804792</v>
      </c>
    </row>
    <row r="15" spans="1:62" ht="18.75">
      <c r="A15" s="4">
        <v>-2</v>
      </c>
      <c r="B15" s="17">
        <f>($B$1/1000)*((B5+1)/1.01325)*(273.15/(273.15+A15))</f>
        <v>2.5849272903892502E-2</v>
      </c>
      <c r="C15" s="17">
        <f>($B$1/1000)*((C5+1)/1.01325)*(273.15/(273.15+A15))</f>
        <v>0.15509563742335503</v>
      </c>
      <c r="D15" s="17">
        <f>($B$1/1000)*((D5+1)/1.01325)*(273.15/(273.15+A15))</f>
        <v>0.2843420019428175</v>
      </c>
      <c r="E15" s="17">
        <f>($B$1/1000)*((E5+1)/1.01325)*(273.15/(273.15+A15))</f>
        <v>0.41358836646228003</v>
      </c>
      <c r="F15" s="17">
        <f>($B$1/1000)*((F5+1)/1.01325)*(273.15/(273.15+A15))</f>
        <v>0.54283473098174251</v>
      </c>
      <c r="G15" s="17">
        <f>($B$1/1000)*((G5+1)/1.01325)*(273.15/(273.15+A15))</f>
        <v>0.67208109550120509</v>
      </c>
      <c r="H15" s="17">
        <f>($B$1/1000)*((H5+1)/1.01325)*(273.15/(273.15+A15))</f>
        <v>0.80132746002066757</v>
      </c>
      <c r="I15" s="17">
        <f>($B$1/1000)*((I5+1)/1.01325)*(273.15/(273.15+A15))</f>
        <v>0.93057382454013016</v>
      </c>
      <c r="J15" s="17">
        <f>($B$1/1000)*((J5+1)/1.01325)*(273.15/(273.15+A15))</f>
        <v>1.0598201890595924</v>
      </c>
      <c r="K15" s="17">
        <f>($B$1/1000)*((K5+1)/1.01325)*(273.15/(273.15+A15))</f>
        <v>1.1890665535790552</v>
      </c>
      <c r="L15" s="17">
        <f>($B$1/1000)*((L5+1)/1.01325)*(273.15/(273.15+A15))</f>
        <v>1.3183129180985178</v>
      </c>
      <c r="M15" s="17">
        <f>($B$1/1000)*((M5+1)/1.01325)*(273.15/(273.15+A15))</f>
        <v>1.4475592826179799</v>
      </c>
      <c r="N15" s="17">
        <f>($B$1/1000)*((N5+1)/1.01325)*(273.15/(273.15+A15))</f>
        <v>1.5768056471374428</v>
      </c>
      <c r="O15" s="17">
        <f>($B$1/1000)*((O5+1)/1.01325)*(273.15/(273.15+A15))</f>
        <v>1.7060520116569051</v>
      </c>
      <c r="P15" s="17">
        <f>($B$1/1000)*((P5+1)/1.01325)*(273.15/(273.15+A15))</f>
        <v>1.8352983761763675</v>
      </c>
      <c r="Q15" s="17">
        <f>($B$1/1000)*((Q5+1)/1.01325)*(273.15/(273.15+A15))</f>
        <v>1.9645447406958303</v>
      </c>
      <c r="R15" s="17">
        <f>($B$1/1000)*((R5+1)/1.01325)*(273.15/(273.15+A15))</f>
        <v>2.0937911052152929</v>
      </c>
      <c r="S15" s="17">
        <f>($B$1/1000)*((S5+1)/1.01325)*(273.15/(273.15+A15))</f>
        <v>2.2230374697347548</v>
      </c>
      <c r="T15" s="17">
        <f>($B$1/1000)*((T5+1)/1.01325)*(273.15/(273.15+A15))</f>
        <v>2.3522838342542176</v>
      </c>
      <c r="U15" s="17">
        <f>($B$1/1000)*((U5+1)/1.01325)*(273.15/(273.15+A15))</f>
        <v>2.4815301987736804</v>
      </c>
      <c r="V15" s="17">
        <f>($B$1/1000)*((V5+1)/1.01325)*(273.15/(273.15+A15))</f>
        <v>2.6107765632931428</v>
      </c>
      <c r="W15" s="17">
        <f>($B$1/1000)*((W5+1)/1.01325)*(273.15/(273.15+A15))</f>
        <v>2.7400229278126051</v>
      </c>
      <c r="X15" s="17">
        <f>($B$1/1000)*((X5+1)/1.01325)*(273.15/(273.15+A15))</f>
        <v>2.869269292332068</v>
      </c>
      <c r="Y15" s="17">
        <f>($B$1/1000)*((Y5+1)/1.01325)*(273.15/(273.15+A15))</f>
        <v>2.9985156568515303</v>
      </c>
      <c r="Z15" s="17">
        <f>($B$1/1000)*((Z5+1)/1.01325)*(273.15/(273.15+A15))</f>
        <v>3.1277620213709927</v>
      </c>
      <c r="AA15" s="17">
        <f>($B$1/1000)*((AA5+1)/1.01325)*(273.15/(273.15+A15))</f>
        <v>3.2570083858904555</v>
      </c>
      <c r="AB15" s="17">
        <f>($B$1/1000)*((AB5+1)/1.01325)*(273.15/(273.15+A15))</f>
        <v>3.3862547504099174</v>
      </c>
      <c r="AC15" s="17">
        <f>($B$1/1000)*((AC5+1)/1.01325)*(273.15/(273.15+A15))</f>
        <v>3.5155011149293798</v>
      </c>
      <c r="AD15" s="17">
        <f>($B$1/1000)*((AD5+1)/1.01325)*(273.15/(273.15+A15))</f>
        <v>3.644747479448843</v>
      </c>
      <c r="AE15" s="17">
        <f>($B$1/1000)*((AE5+1)/1.01325)*(273.15/(273.15+A15))</f>
        <v>3.7739938439683054</v>
      </c>
      <c r="AF15" s="17">
        <f>($B$1/1000)*((AF5+1)/1.01325)*(273.15/(273.15+A15))</f>
        <v>3.9032402084877678</v>
      </c>
      <c r="AG15" s="17">
        <f>($B$1/1000)*((AG5+1)/1.01325)*(273.15/(273.15+A15))</f>
        <v>4.0324865730072306</v>
      </c>
      <c r="AH15" s="17">
        <f>($B$1/1000)*((AH5+1)/1.01325)*(273.15/(273.15+A15))</f>
        <v>4.1617329375266925</v>
      </c>
      <c r="AI15" s="17">
        <f>($B$1/1000)*((AI5+1)/1.01325)*(273.15/(273.15+A15))</f>
        <v>4.2909793020461553</v>
      </c>
      <c r="AJ15" s="17">
        <f>($B$1/1000)*((AJ5+1)/1.01325)*(273.15/(273.15+A15))</f>
        <v>4.4202256665656181</v>
      </c>
      <c r="AK15" s="17">
        <f>($B$1/1000)*((AK5+1)/1.01325)*(273.15/(273.15+A15))</f>
        <v>4.54947203108508</v>
      </c>
      <c r="AL15" s="17">
        <f>($B$1/1000)*((AL5+1)/1.01325)*(273.15/(273.15+A15))</f>
        <v>4.6787183956045428</v>
      </c>
      <c r="AM15" s="17">
        <f>($B$1/1000)*((AM5+1)/1.01325)*(273.15/(273.15+A15))</f>
        <v>4.8079647601240056</v>
      </c>
      <c r="AN15" s="17">
        <f>($B$1/1000)*((AN5+1)/1.01325)*(273.15/(273.15+A15))</f>
        <v>4.9372111246434676</v>
      </c>
      <c r="AO15" s="17">
        <f>($B$1/1000)*((AO5+1)/1.01325)*(273.15/(273.15+A15))</f>
        <v>5.0664574891629304</v>
      </c>
      <c r="AP15" s="17">
        <f>($B$1/1000)*((AP5+1)/1.01325)*(273.15/(273.15+A15))</f>
        <v>5.1957038536823932</v>
      </c>
      <c r="AQ15" s="17">
        <f>($B$1/1000)*((AQ5+1)/1.01325)*(273.15/(273.15+A15))</f>
        <v>5.3249502182018551</v>
      </c>
      <c r="AR15" s="17">
        <f>($B$1/1000)*((AR5+1)/1.01325)*(273.15/(273.15+A15))</f>
        <v>5.4541965827213179</v>
      </c>
      <c r="AS15" s="17">
        <f>($B$1/1000)*((AS5+1)/1.01325)*(273.15/(273.15+A15))</f>
        <v>5.5834429472407807</v>
      </c>
      <c r="AT15" s="17">
        <f>($B$1/1000)*((AT5+1)/1.01325)*(273.15/(273.15+A15))</f>
        <v>5.7126893117602426</v>
      </c>
      <c r="AU15" s="17">
        <f>($B$1/1000)*((AU5+1)/1.01325)*(273.15/(273.15+A15))</f>
        <v>5.8419356762797054</v>
      </c>
      <c r="AV15" s="17">
        <f>($B$1/1000)*((AV5+1)/1.01325)*(273.15/(273.15+A15))</f>
        <v>5.9711820407991683</v>
      </c>
      <c r="AW15" s="17">
        <f>($B$1/1000)*((AW5+1)/1.01325)*(273.15/(273.15+A15))</f>
        <v>6.1004284053186302</v>
      </c>
      <c r="AX15" s="17">
        <f>($B$1/1000)*((AX5+1)/1.01325)*(273.15/(273.15+A15))</f>
        <v>6.229674769838093</v>
      </c>
      <c r="AY15" s="17">
        <f>($B$1/1000)*((AY5+1)/1.01325)*(273.15/(273.15+A15))</f>
        <v>6.3589211343575558</v>
      </c>
      <c r="AZ15" s="17">
        <f>($B$1/1000)*((AZ5+1)/1.01325)*(273.15/(273.15+A15))</f>
        <v>6.4881674988770177</v>
      </c>
      <c r="BA15" s="17">
        <f>($B$1/1000)*((BA5+1)/1.01325)*(273.15/(273.15+A15))</f>
        <v>6.6174138633964805</v>
      </c>
      <c r="BB15" s="17">
        <f>($B$1/1000)*((BB5+1)/1.01325)*(273.15/(273.15+A15))</f>
        <v>6.7466602279159442</v>
      </c>
      <c r="BC15" s="17">
        <f>($B$1/1000)*((BC5+1)/1.01325)*(273.15/(273.15+A15))</f>
        <v>6.8759065924354053</v>
      </c>
      <c r="BD15" s="17">
        <f>($B$1/1000)*((BD5+1)/1.01325)*(273.15/(273.15+A15))</f>
        <v>7.0051529569548672</v>
      </c>
      <c r="BE15" s="17">
        <f>($B$1/1000)*((BE5+1)/1.01325)*(273.15/(273.15+A15))</f>
        <v>7.1343993214743309</v>
      </c>
      <c r="BF15" s="17">
        <f>($B$1/1000)*((BF5+1)/1.01325)*(273.15/(273.15+A15))</f>
        <v>7.2636456859937928</v>
      </c>
      <c r="BG15" s="17">
        <f>($B$1/1000)*((BG5+1)/1.01325)*(273.15/(273.15+A15))</f>
        <v>7.3928920505132556</v>
      </c>
      <c r="BH15" s="17">
        <f>($B$1/1000)*((BH5+1)/1.01325)*(273.15/(273.15+A15))</f>
        <v>7.5221384150327175</v>
      </c>
      <c r="BI15" s="17">
        <f>($B$1/1000)*((BI5+1)/1.01325)*(273.15/(273.15+A15))</f>
        <v>7.6513847795521812</v>
      </c>
      <c r="BJ15" s="17">
        <f>($B$1/1000)*((BJ5+1)/1.01325)*(273.15/(273.15+A15))</f>
        <v>7.7806311440716431</v>
      </c>
    </row>
    <row r="16" spans="1:62" ht="18.75">
      <c r="A16" s="4">
        <v>0</v>
      </c>
      <c r="B16" s="17">
        <f>($B$1/1000)*((B5+1)/1.01325)*(273.15/(273.15+A16))</f>
        <v>2.5660004934616332E-2</v>
      </c>
      <c r="C16" s="17">
        <f>($B$1/1000)*((C5+1)/1.01325)*(273.15/(273.15+A16))</f>
        <v>0.153960029607698</v>
      </c>
      <c r="D16" s="17">
        <f>($B$1/1000)*((D5+1)/1.01325)*(273.15/(273.15+A16))</f>
        <v>0.28226005428077966</v>
      </c>
      <c r="E16" s="17">
        <f>($B$1/1000)*((E5+1)/1.01325)*(273.15/(273.15+A16))</f>
        <v>0.41056007895386132</v>
      </c>
      <c r="F16" s="17">
        <f>($B$1/1000)*((F5+1)/1.01325)*(273.15/(273.15+A16))</f>
        <v>0.53886010362694292</v>
      </c>
      <c r="G16" s="17">
        <f>($B$1/1000)*((G5+1)/1.01325)*(273.15/(273.15+A16))</f>
        <v>0.66716012830002469</v>
      </c>
      <c r="H16" s="17">
        <f>($B$1/1000)*((H5+1)/1.01325)*(273.15/(273.15+A16))</f>
        <v>0.79546015297310635</v>
      </c>
      <c r="I16" s="17">
        <f>($B$1/1000)*((I5+1)/1.01325)*(273.15/(273.15+A16))</f>
        <v>0.92376017764618801</v>
      </c>
      <c r="J16" s="17">
        <f>($B$1/1000)*((J5+1)/1.01325)*(273.15/(273.15+A16))</f>
        <v>1.0520602023192696</v>
      </c>
      <c r="K16" s="17">
        <f>($B$1/1000)*((K5+1)/1.01325)*(273.15/(273.15+A16))</f>
        <v>1.1803602269923514</v>
      </c>
      <c r="L16" s="17">
        <f>($B$1/1000)*((L5+1)/1.01325)*(273.15/(273.15+A16))</f>
        <v>1.3086602516654331</v>
      </c>
      <c r="M16" s="17">
        <f>($B$1/1000)*((M5+1)/1.01325)*(273.15/(273.15+A16))</f>
        <v>1.4369602763385145</v>
      </c>
      <c r="N16" s="17">
        <f>($B$1/1000)*((N5+1)/1.01325)*(273.15/(273.15+A16))</f>
        <v>1.5652603010115964</v>
      </c>
      <c r="O16" s="17">
        <f>($B$1/1000)*((O5+1)/1.01325)*(273.15/(273.15+A16))</f>
        <v>1.6935603256846778</v>
      </c>
      <c r="P16" s="17">
        <f>($B$1/1000)*((P5+1)/1.01325)*(273.15/(273.15+A16))</f>
        <v>1.8218603503577595</v>
      </c>
      <c r="Q16" s="17">
        <f>($B$1/1000)*((Q5+1)/1.01325)*(273.15/(273.15+A16))</f>
        <v>1.9501603750308414</v>
      </c>
      <c r="R16" s="17">
        <f>($B$1/1000)*((R5+1)/1.01325)*(273.15/(273.15+A16))</f>
        <v>2.078460399703923</v>
      </c>
      <c r="S16" s="17">
        <f>($B$1/1000)*((S5+1)/1.01325)*(273.15/(273.15+A16))</f>
        <v>2.2067604243770043</v>
      </c>
      <c r="T16" s="17">
        <f>($B$1/1000)*((T5+1)/1.01325)*(273.15/(273.15+A16))</f>
        <v>2.3350604490500864</v>
      </c>
      <c r="U16" s="17">
        <f>($B$1/1000)*((U5+1)/1.01325)*(273.15/(273.15+A16))</f>
        <v>2.463360473723168</v>
      </c>
      <c r="V16" s="17">
        <f>($B$1/1000)*((V5+1)/1.01325)*(273.15/(273.15+A16))</f>
        <v>2.5916604983962497</v>
      </c>
      <c r="W16" s="17">
        <f>($B$1/1000)*((W5+1)/1.01325)*(273.15/(273.15+A16))</f>
        <v>2.7199605230693313</v>
      </c>
      <c r="X16" s="17">
        <f>($B$1/1000)*((X5+1)/1.01325)*(273.15/(273.15+A16))</f>
        <v>2.848260547742413</v>
      </c>
      <c r="Y16" s="17">
        <f>($B$1/1000)*((Y5+1)/1.01325)*(273.15/(273.15+A16))</f>
        <v>2.9765605724154947</v>
      </c>
      <c r="Z16" s="17">
        <f>($B$1/1000)*((Z5+1)/1.01325)*(273.15/(273.15+A16))</f>
        <v>3.1048605970885763</v>
      </c>
      <c r="AA16" s="17">
        <f>($B$1/1000)*((AA5+1)/1.01325)*(273.15/(273.15+A16))</f>
        <v>3.233160621761658</v>
      </c>
      <c r="AB16" s="17">
        <f>($B$1/1000)*((AB5+1)/1.01325)*(273.15/(273.15+A16))</f>
        <v>3.3614606464347392</v>
      </c>
      <c r="AC16" s="17">
        <f>($B$1/1000)*((AC5+1)/1.01325)*(273.15/(273.15+A16))</f>
        <v>3.4897606711078208</v>
      </c>
      <c r="AD16" s="17">
        <f>($B$1/1000)*((AD5+1)/1.01325)*(273.15/(273.15+A16))</f>
        <v>3.6180606957809029</v>
      </c>
      <c r="AE16" s="17">
        <f>($B$1/1000)*((AE5+1)/1.01325)*(273.15/(273.15+A16))</f>
        <v>3.7463607204539846</v>
      </c>
      <c r="AF16" s="17">
        <f>($B$1/1000)*((AF5+1)/1.01325)*(273.15/(273.15+A16))</f>
        <v>3.8746607451270663</v>
      </c>
      <c r="AG16" s="17">
        <f>($B$1/1000)*((AG5+1)/1.01325)*(273.15/(273.15+A16))</f>
        <v>4.0029607698001479</v>
      </c>
      <c r="AH16" s="17">
        <f>($B$1/1000)*((AH5+1)/1.01325)*(273.15/(273.15+A16))</f>
        <v>4.1312607944732296</v>
      </c>
      <c r="AI16" s="17">
        <f>($B$1/1000)*((AI5+1)/1.01325)*(273.15/(273.15+A16))</f>
        <v>4.2595608191463112</v>
      </c>
      <c r="AJ16" s="17">
        <f>($B$1/1000)*((AJ5+1)/1.01325)*(273.15/(273.15+A16))</f>
        <v>4.3878608438193929</v>
      </c>
      <c r="AK16" s="17">
        <f>($B$1/1000)*((AK5+1)/1.01325)*(273.15/(273.15+A16))</f>
        <v>4.5161608684924746</v>
      </c>
      <c r="AL16" s="17">
        <f>($B$1/1000)*((AL5+1)/1.01325)*(273.15/(273.15+A16))</f>
        <v>4.6444608931655562</v>
      </c>
      <c r="AM16" s="17">
        <f>($B$1/1000)*((AM5+1)/1.01325)*(273.15/(273.15+A16))</f>
        <v>4.7727609178386379</v>
      </c>
      <c r="AN16" s="17">
        <f>($B$1/1000)*((AN5+1)/1.01325)*(273.15/(273.15+A16))</f>
        <v>4.9010609425117195</v>
      </c>
      <c r="AO16" s="17">
        <f>($B$1/1000)*((AO5+1)/1.01325)*(273.15/(273.15+A16))</f>
        <v>5.0293609671848012</v>
      </c>
      <c r="AP16" s="17">
        <f>($B$1/1000)*((AP5+1)/1.01325)*(273.15/(273.15+A16))</f>
        <v>5.1576609918578828</v>
      </c>
      <c r="AQ16" s="17">
        <f>($B$1/1000)*((AQ5+1)/1.01325)*(273.15/(273.15+A16))</f>
        <v>5.2859610165309645</v>
      </c>
      <c r="AR16" s="17">
        <f>($B$1/1000)*((AR5+1)/1.01325)*(273.15/(273.15+A16))</f>
        <v>5.4142610412040462</v>
      </c>
      <c r="AS16" s="17">
        <f>($B$1/1000)*((AS5+1)/1.01325)*(273.15/(273.15+A16))</f>
        <v>5.5425610658771278</v>
      </c>
      <c r="AT16" s="17">
        <f>($B$1/1000)*((AT5+1)/1.01325)*(273.15/(273.15+A16))</f>
        <v>5.6708610905502095</v>
      </c>
      <c r="AU16" s="17">
        <f>($B$1/1000)*((AU5+1)/1.01325)*(273.15/(273.15+A16))</f>
        <v>5.7991611152232911</v>
      </c>
      <c r="AV16" s="17">
        <f>($B$1/1000)*((AV5+1)/1.01325)*(273.15/(273.15+A16))</f>
        <v>5.9274611398963728</v>
      </c>
      <c r="AW16" s="17">
        <f>($B$1/1000)*((AW5+1)/1.01325)*(273.15/(273.15+A16))</f>
        <v>6.0557611645694545</v>
      </c>
      <c r="AX16" s="17">
        <f>($B$1/1000)*((AX5+1)/1.01325)*(273.15/(273.15+A16))</f>
        <v>6.1840611892425361</v>
      </c>
      <c r="AY16" s="17">
        <f>($B$1/1000)*((AY5+1)/1.01325)*(273.15/(273.15+A16))</f>
        <v>6.3123612139156178</v>
      </c>
      <c r="AZ16" s="17">
        <f>($B$1/1000)*((AZ5+1)/1.01325)*(273.15/(273.15+A16))</f>
        <v>6.4406612385886994</v>
      </c>
      <c r="BA16" s="17">
        <f>($B$1/1000)*((BA5+1)/1.01325)*(273.15/(273.15+A16))</f>
        <v>6.5689612632617811</v>
      </c>
      <c r="BB16" s="17">
        <f>($B$1/1000)*((BB5+1)/1.01325)*(273.15/(273.15+A16))</f>
        <v>6.6972612879348636</v>
      </c>
      <c r="BC16" s="17">
        <f>($B$1/1000)*((BC5+1)/1.01325)*(273.15/(273.15+A16))</f>
        <v>6.8255613126079444</v>
      </c>
      <c r="BD16" s="17">
        <f>($B$1/1000)*((BD5+1)/1.01325)*(273.15/(273.15+A16))</f>
        <v>6.9538613372810252</v>
      </c>
      <c r="BE16" s="17">
        <f>($B$1/1000)*((BE5+1)/1.01325)*(273.15/(273.15+A16))</f>
        <v>7.0821613619541077</v>
      </c>
      <c r="BF16" s="17">
        <f>($B$1/1000)*((BF5+1)/1.01325)*(273.15/(273.15+A16))</f>
        <v>7.2104613866271894</v>
      </c>
      <c r="BG16" s="17">
        <f>($B$1/1000)*((BG5+1)/1.01325)*(273.15/(273.15+A16))</f>
        <v>7.338761411300271</v>
      </c>
      <c r="BH16" s="17">
        <f>($B$1/1000)*((BH5+1)/1.01325)*(273.15/(273.15+A16))</f>
        <v>7.4670614359733527</v>
      </c>
      <c r="BI16" s="17">
        <f>($B$1/1000)*((BI5+1)/1.01325)*(273.15/(273.15+A16))</f>
        <v>7.5953614606464352</v>
      </c>
      <c r="BJ16" s="17">
        <f>($B$1/1000)*((BJ5+1)/1.01325)*(273.15/(273.15+A16))</f>
        <v>7.723661485319516</v>
      </c>
    </row>
    <row r="17" spans="1:62" ht="18.75">
      <c r="A17" s="2">
        <v>2</v>
      </c>
      <c r="B17" s="17">
        <f>($B$1/1000)*((B5+1)/1.01325)*(273.15/(273.15+A17))</f>
        <v>2.5473488453172637E-2</v>
      </c>
      <c r="C17" s="17">
        <f>($B$1/1000)*((C5+1)/1.01325)*(273.15/(273.15+A17))</f>
        <v>0.15284093071903584</v>
      </c>
      <c r="D17" s="17">
        <f>($B$1/1000)*((D5+1)/1.01325)*(273.15/(273.15+A17))</f>
        <v>0.28020837298489903</v>
      </c>
      <c r="E17" s="17">
        <f>($B$1/1000)*((E5+1)/1.01325)*(273.15/(273.15+A17))</f>
        <v>0.4075758152507622</v>
      </c>
      <c r="F17" s="17">
        <f>($B$1/1000)*((F5+1)/1.01325)*(273.15/(273.15+A17))</f>
        <v>0.5349432575166253</v>
      </c>
      <c r="G17" s="17">
        <f>($B$1/1000)*((G5+1)/1.01325)*(273.15/(273.15+A17))</f>
        <v>0.66231069978248858</v>
      </c>
      <c r="H17" s="17">
        <f>($B$1/1000)*((H5+1)/1.01325)*(273.15/(273.15+A17))</f>
        <v>0.78967814204835185</v>
      </c>
      <c r="I17" s="17">
        <f>($B$1/1000)*((I5+1)/1.01325)*(273.15/(273.15+A17))</f>
        <v>0.91704558431421501</v>
      </c>
      <c r="J17" s="17">
        <f>($B$1/1000)*((J5+1)/1.01325)*(273.15/(273.15+A17))</f>
        <v>1.0444130265800782</v>
      </c>
      <c r="K17" s="17">
        <f>($B$1/1000)*((K5+1)/1.01325)*(273.15/(273.15+A17))</f>
        <v>1.1717804688459414</v>
      </c>
      <c r="L17" s="17">
        <f>($B$1/1000)*((L5+1)/1.01325)*(273.15/(273.15+A17))</f>
        <v>1.2991479111118047</v>
      </c>
      <c r="M17" s="17">
        <f>($B$1/1000)*((M5+1)/1.01325)*(273.15/(273.15+A17))</f>
        <v>1.4265153533776675</v>
      </c>
      <c r="N17" s="17">
        <f>($B$1/1000)*((N5+1)/1.01325)*(273.15/(273.15+A17))</f>
        <v>1.553882795643531</v>
      </c>
      <c r="O17" s="17">
        <f>($B$1/1000)*((O5+1)/1.01325)*(273.15/(273.15+A17))</f>
        <v>1.6812502379093941</v>
      </c>
      <c r="P17" s="17">
        <f>($B$1/1000)*((P5+1)/1.01325)*(273.15/(273.15+A17))</f>
        <v>1.8086176801752571</v>
      </c>
      <c r="Q17" s="17">
        <f>($B$1/1000)*((Q5+1)/1.01325)*(273.15/(273.15+A17))</f>
        <v>1.9359851224411206</v>
      </c>
      <c r="R17" s="17">
        <f>($B$1/1000)*((R5+1)/1.01325)*(273.15/(273.15+A17))</f>
        <v>2.0633525647069839</v>
      </c>
      <c r="S17" s="17">
        <f>($B$1/1000)*((S5+1)/1.01325)*(273.15/(273.15+A17))</f>
        <v>2.1907200069728465</v>
      </c>
      <c r="T17" s="17">
        <f>($B$1/1000)*((T5+1)/1.01325)*(273.15/(273.15+A17))</f>
        <v>2.31808744923871</v>
      </c>
      <c r="U17" s="17">
        <f>($B$1/1000)*((U5+1)/1.01325)*(273.15/(273.15+A17))</f>
        <v>2.4454548915045735</v>
      </c>
      <c r="V17" s="17">
        <f>($B$1/1000)*((V5+1)/1.01325)*(273.15/(273.15+A17))</f>
        <v>2.5728223337704366</v>
      </c>
      <c r="W17" s="17">
        <f>($B$1/1000)*((W5+1)/1.01325)*(273.15/(273.15+A17))</f>
        <v>2.7001897760362996</v>
      </c>
      <c r="X17" s="17">
        <f>($B$1/1000)*((X5+1)/1.01325)*(273.15/(273.15+A17))</f>
        <v>2.8275572183021627</v>
      </c>
      <c r="Y17" s="17">
        <f>($B$1/1000)*((Y5+1)/1.01325)*(273.15/(273.15+A17))</f>
        <v>2.9549246605680262</v>
      </c>
      <c r="Z17" s="17">
        <f>($B$1/1000)*((Z5+1)/1.01325)*(273.15/(273.15+A17))</f>
        <v>3.0822921028338892</v>
      </c>
      <c r="AA17" s="17">
        <f>($B$1/1000)*((AA5+1)/1.01325)*(273.15/(273.15+A17))</f>
        <v>3.2096595450997523</v>
      </c>
      <c r="AB17" s="17">
        <f>($B$1/1000)*((AB5+1)/1.01325)*(273.15/(273.15+A17))</f>
        <v>3.3370269873656153</v>
      </c>
      <c r="AC17" s="17">
        <f>($B$1/1000)*((AC5+1)/1.01325)*(273.15/(273.15+A17))</f>
        <v>3.4643944296314784</v>
      </c>
      <c r="AD17" s="17">
        <f>($B$1/1000)*((AD5+1)/1.01325)*(273.15/(273.15+A17))</f>
        <v>3.5917618718973419</v>
      </c>
      <c r="AE17" s="17">
        <f>($B$1/1000)*((AE5+1)/1.01325)*(273.15/(273.15+A17))</f>
        <v>3.7191293141632054</v>
      </c>
      <c r="AF17" s="17">
        <f>($B$1/1000)*((AF5+1)/1.01325)*(273.15/(273.15+A17))</f>
        <v>3.8464967564290684</v>
      </c>
      <c r="AG17" s="17">
        <f>($B$1/1000)*((AG5+1)/1.01325)*(273.15/(273.15+A17))</f>
        <v>3.9738641986949315</v>
      </c>
      <c r="AH17" s="17">
        <f>($B$1/1000)*((AH5+1)/1.01325)*(273.15/(273.15+A17))</f>
        <v>4.101231640960795</v>
      </c>
      <c r="AI17" s="17">
        <f>($B$1/1000)*((AI5+1)/1.01325)*(273.15/(273.15+A17))</f>
        <v>4.2285990832266576</v>
      </c>
      <c r="AJ17" s="17">
        <f>($B$1/1000)*((AJ5+1)/1.01325)*(273.15/(273.15+A17))</f>
        <v>4.3559665254925211</v>
      </c>
      <c r="AK17" s="17">
        <f>($B$1/1000)*((AK5+1)/1.01325)*(273.15/(273.15+A17))</f>
        <v>4.4833339677583846</v>
      </c>
      <c r="AL17" s="17">
        <f>($B$1/1000)*((AL5+1)/1.01325)*(273.15/(273.15+A17))</f>
        <v>4.6107014100242472</v>
      </c>
      <c r="AM17" s="17">
        <f>($B$1/1000)*((AM5+1)/1.01325)*(273.15/(273.15+A17))</f>
        <v>4.7380688522901107</v>
      </c>
      <c r="AN17" s="17">
        <f>($B$1/1000)*((AN5+1)/1.01325)*(273.15/(273.15+A17))</f>
        <v>4.8654362945559742</v>
      </c>
      <c r="AO17" s="17">
        <f>($B$1/1000)*((AO5+1)/1.01325)*(273.15/(273.15+A17))</f>
        <v>4.9928037368218368</v>
      </c>
      <c r="AP17" s="17">
        <f>($B$1/1000)*((AP5+1)/1.01325)*(273.15/(273.15+A17))</f>
        <v>5.1201711790877003</v>
      </c>
      <c r="AQ17" s="17">
        <f>($B$1/1000)*((AQ5+1)/1.01325)*(273.15/(273.15+A17))</f>
        <v>5.2475386213535637</v>
      </c>
      <c r="AR17" s="17">
        <f>($B$1/1000)*((AR5+1)/1.01325)*(273.15/(273.15+A17))</f>
        <v>5.3749060636194264</v>
      </c>
      <c r="AS17" s="17">
        <f>($B$1/1000)*((AS5+1)/1.01325)*(273.15/(273.15+A17))</f>
        <v>5.5022735058852899</v>
      </c>
      <c r="AT17" s="17">
        <f>($B$1/1000)*((AT5+1)/1.01325)*(273.15/(273.15+A17))</f>
        <v>5.6296409481511533</v>
      </c>
      <c r="AU17" s="17">
        <f>($B$1/1000)*((AU5+1)/1.01325)*(273.15/(273.15+A17))</f>
        <v>5.757008390417016</v>
      </c>
      <c r="AV17" s="17">
        <f>($B$1/1000)*((AV5+1)/1.01325)*(273.15/(273.15+A17))</f>
        <v>5.8843758326828794</v>
      </c>
      <c r="AW17" s="17">
        <f>($B$1/1000)*((AW5+1)/1.01325)*(273.15/(273.15+A17))</f>
        <v>6.0117432749487421</v>
      </c>
      <c r="AX17" s="17">
        <f>($B$1/1000)*((AX5+1)/1.01325)*(273.15/(273.15+A17))</f>
        <v>6.1391107172146056</v>
      </c>
      <c r="AY17" s="17">
        <f>($B$1/1000)*((AY5+1)/1.01325)*(273.15/(273.15+A17))</f>
        <v>6.266478159480469</v>
      </c>
      <c r="AZ17" s="17">
        <f>($B$1/1000)*((AZ5+1)/1.01325)*(273.15/(273.15+A17))</f>
        <v>6.3938456017463317</v>
      </c>
      <c r="BA17" s="17">
        <f>($B$1/1000)*((BA5+1)/1.01325)*(273.15/(273.15+A17))</f>
        <v>6.5212130440121951</v>
      </c>
      <c r="BB17" s="17">
        <f>($B$1/1000)*((BB5+1)/1.01325)*(273.15/(273.15+A17))</f>
        <v>6.6485804862780595</v>
      </c>
      <c r="BC17" s="17">
        <f>($B$1/1000)*((BC5+1)/1.01325)*(273.15/(273.15+A17))</f>
        <v>6.7759479285439213</v>
      </c>
      <c r="BD17" s="17">
        <f>($B$1/1000)*((BD5+1)/1.01325)*(273.15/(273.15+A17))</f>
        <v>6.9033153708097839</v>
      </c>
      <c r="BE17" s="17">
        <f>($B$1/1000)*((BE5+1)/1.01325)*(273.15/(273.15+A17))</f>
        <v>7.0306828130756482</v>
      </c>
      <c r="BF17" s="17">
        <f>($B$1/1000)*((BF5+1)/1.01325)*(273.15/(273.15+A17))</f>
        <v>7.1580502553415108</v>
      </c>
      <c r="BG17" s="17">
        <f>($B$1/1000)*((BG5+1)/1.01325)*(273.15/(273.15+A17))</f>
        <v>7.2854176976073743</v>
      </c>
      <c r="BH17" s="17">
        <f>($B$1/1000)*((BH5+1)/1.01325)*(273.15/(273.15+A17))</f>
        <v>7.4127851398732378</v>
      </c>
      <c r="BI17" s="17">
        <f>($B$1/1000)*((BI5+1)/1.01325)*(273.15/(273.15+A17))</f>
        <v>7.5401525821391013</v>
      </c>
      <c r="BJ17" s="17">
        <f>($B$1/1000)*((BJ5+1)/1.01325)*(273.15/(273.15+A17))</f>
        <v>7.6675200244049639</v>
      </c>
    </row>
    <row r="18" spans="1:62" ht="18.75">
      <c r="A18" s="2">
        <v>4</v>
      </c>
      <c r="B18" s="17">
        <f>($B$1/1000)*((B5+1)/1.01325)*(273.15/(273.15+A18))</f>
        <v>2.5289663892803359E-2</v>
      </c>
      <c r="C18" s="17">
        <f>($B$1/1000)*((C5+1)/1.01325)*(273.15/(273.15+A18))</f>
        <v>0.15173798335682018</v>
      </c>
      <c r="D18" s="17">
        <f>($B$1/1000)*((D5+1)/1.01325)*(273.15/(273.15+A18))</f>
        <v>0.27818630282083695</v>
      </c>
      <c r="E18" s="17">
        <f>($B$1/1000)*((E5+1)/1.01325)*(273.15/(273.15+A18))</f>
        <v>0.40463462228485375</v>
      </c>
      <c r="F18" s="17">
        <f>($B$1/1000)*((F5+1)/1.01325)*(273.15/(273.15+A18))</f>
        <v>0.5310829417488705</v>
      </c>
      <c r="G18" s="17">
        <f>($B$1/1000)*((G5+1)/1.01325)*(273.15/(273.15+A18))</f>
        <v>0.65753126121288741</v>
      </c>
      <c r="H18" s="17">
        <f>($B$1/1000)*((H5+1)/1.01325)*(273.15/(273.15+A18))</f>
        <v>0.78397958067690421</v>
      </c>
      <c r="I18" s="17">
        <f>($B$1/1000)*((I5+1)/1.01325)*(273.15/(273.15+A18))</f>
        <v>0.91042790014092101</v>
      </c>
      <c r="J18" s="17">
        <f>($B$1/1000)*((J5+1)/1.01325)*(273.15/(273.15+A18))</f>
        <v>1.0368762196049377</v>
      </c>
      <c r="K18" s="17">
        <f>($B$1/1000)*((K5+1)/1.01325)*(273.15/(273.15+A18))</f>
        <v>1.1633245390689548</v>
      </c>
      <c r="L18" s="17">
        <f>($B$1/1000)*((L5+1)/1.01325)*(273.15/(273.15+A18))</f>
        <v>1.2897728585329715</v>
      </c>
      <c r="M18" s="17">
        <f>($B$1/1000)*((M5+1)/1.01325)*(273.15/(273.15+A18))</f>
        <v>1.4162211779969882</v>
      </c>
      <c r="N18" s="17">
        <f>($B$1/1000)*((N5+1)/1.01325)*(273.15/(273.15+A18))</f>
        <v>1.5426694974610051</v>
      </c>
      <c r="O18" s="17">
        <f>($B$1/1000)*((O5+1)/1.01325)*(273.15/(273.15+A18))</f>
        <v>1.6691178169250218</v>
      </c>
      <c r="P18" s="17">
        <f>($B$1/1000)*((P5+1)/1.01325)*(273.15/(273.15+A18))</f>
        <v>1.7955661363890385</v>
      </c>
      <c r="Q18" s="17">
        <f>($B$1/1000)*((Q5+1)/1.01325)*(273.15/(273.15+A18))</f>
        <v>1.9220144558530556</v>
      </c>
      <c r="R18" s="17">
        <f>($B$1/1000)*((R5+1)/1.01325)*(273.15/(273.15+A18))</f>
        <v>2.0484627753170725</v>
      </c>
      <c r="S18" s="17">
        <f>($B$1/1000)*((S5+1)/1.01325)*(273.15/(273.15+A18))</f>
        <v>2.1749110947810886</v>
      </c>
      <c r="T18" s="17">
        <f>($B$1/1000)*((T5+1)/1.01325)*(273.15/(273.15+A18))</f>
        <v>2.3013594142451059</v>
      </c>
      <c r="U18" s="17">
        <f>($B$1/1000)*((U5+1)/1.01325)*(273.15/(273.15+A18))</f>
        <v>2.4278077337091228</v>
      </c>
      <c r="V18" s="17">
        <f>($B$1/1000)*((V5+1)/1.01325)*(273.15/(273.15+A18))</f>
        <v>2.5542560531731398</v>
      </c>
      <c r="W18" s="17">
        <f>($B$1/1000)*((W5+1)/1.01325)*(273.15/(273.15+A18))</f>
        <v>2.6807043726371562</v>
      </c>
      <c r="X18" s="17">
        <f>($B$1/1000)*((X5+1)/1.01325)*(273.15/(273.15+A18))</f>
        <v>2.8071526921011731</v>
      </c>
      <c r="Y18" s="17">
        <f>($B$1/1000)*((Y5+1)/1.01325)*(273.15/(273.15+A18))</f>
        <v>2.93360101156519</v>
      </c>
      <c r="Z18" s="17">
        <f>($B$1/1000)*((Z5+1)/1.01325)*(273.15/(273.15+A18))</f>
        <v>3.060049331029207</v>
      </c>
      <c r="AA18" s="17">
        <f>($B$1/1000)*((AA5+1)/1.01325)*(273.15/(273.15+A18))</f>
        <v>3.1864976504932234</v>
      </c>
      <c r="AB18" s="17">
        <f>($B$1/1000)*((AB5+1)/1.01325)*(273.15/(273.15+A18))</f>
        <v>3.3129459699572399</v>
      </c>
      <c r="AC18" s="17">
        <f>($B$1/1000)*((AC5+1)/1.01325)*(273.15/(273.15+A18))</f>
        <v>3.4393942894212568</v>
      </c>
      <c r="AD18" s="17">
        <f>($B$1/1000)*((AD5+1)/1.01325)*(273.15/(273.15+A18))</f>
        <v>3.5658426088852742</v>
      </c>
      <c r="AE18" s="17">
        <f>($B$1/1000)*((AE5+1)/1.01325)*(273.15/(273.15+A18))</f>
        <v>3.6922909283492906</v>
      </c>
      <c r="AF18" s="17">
        <f>($B$1/1000)*((AF5+1)/1.01325)*(273.15/(273.15+A18))</f>
        <v>3.8187392478133075</v>
      </c>
      <c r="AG18" s="17">
        <f>($B$1/1000)*((AG5+1)/1.01325)*(273.15/(273.15+A18))</f>
        <v>3.9451875672773244</v>
      </c>
      <c r="AH18" s="17">
        <f>($B$1/1000)*((AH5+1)/1.01325)*(273.15/(273.15+A18))</f>
        <v>4.0716358867413414</v>
      </c>
      <c r="AI18" s="17">
        <f>($B$1/1000)*((AI5+1)/1.01325)*(273.15/(273.15+A18))</f>
        <v>4.1980842062053583</v>
      </c>
      <c r="AJ18" s="17">
        <f>($B$1/1000)*((AJ5+1)/1.01325)*(273.15/(273.15+A18))</f>
        <v>4.3245325256693752</v>
      </c>
      <c r="AK18" s="17">
        <f>($B$1/1000)*((AK5+1)/1.01325)*(273.15/(273.15+A18))</f>
        <v>4.4509808451333912</v>
      </c>
      <c r="AL18" s="17">
        <f>($B$1/1000)*((AL5+1)/1.01325)*(273.15/(273.15+A18))</f>
        <v>4.5774291645974081</v>
      </c>
      <c r="AM18" s="17">
        <f>($B$1/1000)*((AM5+1)/1.01325)*(273.15/(273.15+A18))</f>
        <v>4.703877484061425</v>
      </c>
      <c r="AN18" s="17">
        <f>($B$1/1000)*((AN5+1)/1.01325)*(273.15/(273.15+A18))</f>
        <v>4.8303258035254419</v>
      </c>
      <c r="AO18" s="17">
        <f>($B$1/1000)*((AO5+1)/1.01325)*(273.15/(273.15+A18))</f>
        <v>4.9567741229894589</v>
      </c>
      <c r="AP18" s="17">
        <f>($B$1/1000)*((AP5+1)/1.01325)*(273.15/(273.15+A18))</f>
        <v>5.0832224424534758</v>
      </c>
      <c r="AQ18" s="17">
        <f>($B$1/1000)*((AQ5+1)/1.01325)*(273.15/(273.15+A18))</f>
        <v>5.2096707619174927</v>
      </c>
      <c r="AR18" s="17">
        <f>($B$1/1000)*((AR5+1)/1.01325)*(273.15/(273.15+A18))</f>
        <v>5.3361190813815096</v>
      </c>
      <c r="AS18" s="17">
        <f>($B$1/1000)*((AS5+1)/1.01325)*(273.15/(273.15+A18))</f>
        <v>5.4625674008455256</v>
      </c>
      <c r="AT18" s="17">
        <f>($B$1/1000)*((AT5+1)/1.01325)*(273.15/(273.15+A18))</f>
        <v>5.5890157203095425</v>
      </c>
      <c r="AU18" s="17">
        <f>($B$1/1000)*((AU5+1)/1.01325)*(273.15/(273.15+A18))</f>
        <v>5.7154640397735594</v>
      </c>
      <c r="AV18" s="17">
        <f>($B$1/1000)*((AV5+1)/1.01325)*(273.15/(273.15+A18))</f>
        <v>5.8419123592375763</v>
      </c>
      <c r="AW18" s="17">
        <f>($B$1/1000)*((AW5+1)/1.01325)*(273.15/(273.15+A18))</f>
        <v>5.9683606787015933</v>
      </c>
      <c r="AX18" s="17">
        <f>($B$1/1000)*((AX5+1)/1.01325)*(273.15/(273.15+A18))</f>
        <v>6.0948089981656102</v>
      </c>
      <c r="AY18" s="17">
        <f>($B$1/1000)*((AY5+1)/1.01325)*(273.15/(273.15+A18))</f>
        <v>6.2212573176296271</v>
      </c>
      <c r="AZ18" s="17">
        <f>($B$1/1000)*((AZ5+1)/1.01325)*(273.15/(273.15+A18))</f>
        <v>6.347705637093644</v>
      </c>
      <c r="BA18" s="17">
        <f>($B$1/1000)*((BA5+1)/1.01325)*(273.15/(273.15+A18))</f>
        <v>6.47415395655766</v>
      </c>
      <c r="BB18" s="17">
        <f>($B$1/1000)*((BB5+1)/1.01325)*(273.15/(273.15+A18))</f>
        <v>6.6006022760216778</v>
      </c>
      <c r="BC18" s="17">
        <f>($B$1/1000)*((BC5+1)/1.01325)*(273.15/(273.15+A18))</f>
        <v>6.7270505954856938</v>
      </c>
      <c r="BD18" s="17">
        <f>($B$1/1000)*((BD5+1)/1.01325)*(273.15/(273.15+A18))</f>
        <v>6.8534989149497099</v>
      </c>
      <c r="BE18" s="17">
        <f>($B$1/1000)*((BE5+1)/1.01325)*(273.15/(273.15+A18))</f>
        <v>6.9799472344137277</v>
      </c>
      <c r="BF18" s="17">
        <f>($B$1/1000)*((BF5+1)/1.01325)*(273.15/(273.15+A18))</f>
        <v>7.1063955538777446</v>
      </c>
      <c r="BG18" s="17">
        <f>($B$1/1000)*((BG5+1)/1.01325)*(273.15/(273.15+A18))</f>
        <v>7.2328438733417615</v>
      </c>
      <c r="BH18" s="17">
        <f>($B$1/1000)*((BH5+1)/1.01325)*(273.15/(273.15+A18))</f>
        <v>7.3592921928057784</v>
      </c>
      <c r="BI18" s="17">
        <f>($B$1/1000)*((BI5+1)/1.01325)*(273.15/(273.15+A18))</f>
        <v>7.4857405122697953</v>
      </c>
      <c r="BJ18" s="17">
        <f>($B$1/1000)*((BJ5+1)/1.01325)*(273.15/(273.15+A18))</f>
        <v>7.6121888317338113</v>
      </c>
    </row>
    <row r="19" spans="1:62" ht="18.75">
      <c r="A19" s="2">
        <v>6</v>
      </c>
      <c r="B19" s="17">
        <f>($B$1/1000)*((B5+1)/1.01325)*(273.15/(273.15+A19))</f>
        <v>2.5108473393840054E-2</v>
      </c>
      <c r="C19" s="17">
        <f>($B$1/1000)*((C5+1)/1.01325)*(273.15/(273.15+A19))</f>
        <v>0.15065084036304033</v>
      </c>
      <c r="D19" s="17">
        <f>($B$1/1000)*((D5+1)/1.01325)*(273.15/(273.15+A19))</f>
        <v>0.27619320733224056</v>
      </c>
      <c r="E19" s="17">
        <f>($B$1/1000)*((E5+1)/1.01325)*(273.15/(273.15+A19))</f>
        <v>0.40173557430144086</v>
      </c>
      <c r="F19" s="17">
        <f>($B$1/1000)*((F5+1)/1.01325)*(273.15/(273.15+A19))</f>
        <v>0.52727794127064109</v>
      </c>
      <c r="G19" s="17">
        <f>($B$1/1000)*((G5+1)/1.01325)*(273.15/(273.15+A19))</f>
        <v>0.65282030823984138</v>
      </c>
      <c r="H19" s="17">
        <f>($B$1/1000)*((H5+1)/1.01325)*(273.15/(273.15+A19))</f>
        <v>0.77836267520904168</v>
      </c>
      <c r="I19" s="17">
        <f>($B$1/1000)*((I5+1)/1.01325)*(273.15/(273.15+A19))</f>
        <v>0.90390504217824197</v>
      </c>
      <c r="J19" s="17">
        <f>($B$1/1000)*((J5+1)/1.01325)*(273.15/(273.15+A19))</f>
        <v>1.0294474091474421</v>
      </c>
      <c r="K19" s="17">
        <f>($B$1/1000)*((K5+1)/1.01325)*(273.15/(273.15+A19))</f>
        <v>1.1549897761166426</v>
      </c>
      <c r="L19" s="17">
        <f>($B$1/1000)*((L5+1)/1.01325)*(273.15/(273.15+A19))</f>
        <v>1.280532143085843</v>
      </c>
      <c r="M19" s="17">
        <f>($B$1/1000)*((M5+1)/1.01325)*(273.15/(273.15+A19))</f>
        <v>1.4060745100550429</v>
      </c>
      <c r="N19" s="17">
        <f>($B$1/1000)*((N5+1)/1.01325)*(273.15/(273.15+A19))</f>
        <v>1.5316168770242433</v>
      </c>
      <c r="O19" s="17">
        <f>($B$1/1000)*((O5+1)/1.01325)*(273.15/(273.15+A19))</f>
        <v>1.6571592439934435</v>
      </c>
      <c r="P19" s="17">
        <f>($B$1/1000)*((P5+1)/1.01325)*(273.15/(273.15+A19))</f>
        <v>1.7827016109626437</v>
      </c>
      <c r="Q19" s="17">
        <f>($B$1/1000)*((Q5+1)/1.01325)*(273.15/(273.15+A19))</f>
        <v>1.9082439779318441</v>
      </c>
      <c r="R19" s="17">
        <f>($B$1/1000)*((R5+1)/1.01325)*(273.15/(273.15+A19))</f>
        <v>2.0337863449010443</v>
      </c>
      <c r="S19" s="17">
        <f>($B$1/1000)*((S5+1)/1.01325)*(273.15/(273.15+A19))</f>
        <v>2.1593287118702444</v>
      </c>
      <c r="T19" s="17">
        <f>($B$1/1000)*((T5+1)/1.01325)*(273.15/(273.15+A19))</f>
        <v>2.2848710788394451</v>
      </c>
      <c r="U19" s="17">
        <f>($B$1/1000)*((U5+1)/1.01325)*(273.15/(273.15+A19))</f>
        <v>2.4104134458086452</v>
      </c>
      <c r="V19" s="17">
        <f>($B$1/1000)*((V5+1)/1.01325)*(273.15/(273.15+A19))</f>
        <v>2.5359558127778454</v>
      </c>
      <c r="W19" s="17">
        <f>($B$1/1000)*((W5+1)/1.01325)*(273.15/(273.15+A19))</f>
        <v>2.6614981797470456</v>
      </c>
      <c r="X19" s="17">
        <f>($B$1/1000)*((X5+1)/1.01325)*(273.15/(273.15+A19))</f>
        <v>2.7870405467162458</v>
      </c>
      <c r="Y19" s="17">
        <f>($B$1/1000)*((Y5+1)/1.01325)*(273.15/(273.15+A19))</f>
        <v>2.9125829136854464</v>
      </c>
      <c r="Z19" s="17">
        <f>($B$1/1000)*((Z5+1)/1.01325)*(273.15/(273.15+A19))</f>
        <v>3.0381252806546466</v>
      </c>
      <c r="AA19" s="17">
        <f>($B$1/1000)*((AA5+1)/1.01325)*(273.15/(273.15+A19))</f>
        <v>3.1636676476238468</v>
      </c>
      <c r="AB19" s="17">
        <f>($B$1/1000)*((AB5+1)/1.01325)*(273.15/(273.15+A19))</f>
        <v>3.2892100145930465</v>
      </c>
      <c r="AC19" s="17">
        <f>($B$1/1000)*((AC5+1)/1.01325)*(273.15/(273.15+A19))</f>
        <v>3.4147523815622467</v>
      </c>
      <c r="AD19" s="17">
        <f>($B$1/1000)*((AD5+1)/1.01325)*(273.15/(273.15+A19))</f>
        <v>3.5402947485314478</v>
      </c>
      <c r="AE19" s="17">
        <f>($B$1/1000)*((AE5+1)/1.01325)*(273.15/(273.15+A19))</f>
        <v>3.6658371155006479</v>
      </c>
      <c r="AF19" s="17">
        <f>($B$1/1000)*((AF5+1)/1.01325)*(273.15/(273.15+A19))</f>
        <v>3.7913794824698481</v>
      </c>
      <c r="AG19" s="17">
        <f>($B$1/1000)*((AG5+1)/1.01325)*(273.15/(273.15+A19))</f>
        <v>3.9169218494390483</v>
      </c>
      <c r="AH19" s="17">
        <f>($B$1/1000)*((AH5+1)/1.01325)*(273.15/(273.15+A19))</f>
        <v>4.0424642164082485</v>
      </c>
      <c r="AI19" s="17">
        <f>($B$1/1000)*((AI5+1)/1.01325)*(273.15/(273.15+A19))</f>
        <v>4.1680065833774487</v>
      </c>
      <c r="AJ19" s="17">
        <f>($B$1/1000)*((AJ5+1)/1.01325)*(273.15/(273.15+A19))</f>
        <v>4.2935489503466489</v>
      </c>
      <c r="AK19" s="17">
        <f>($B$1/1000)*((AK5+1)/1.01325)*(273.15/(273.15+A19))</f>
        <v>4.419091317315849</v>
      </c>
      <c r="AL19" s="17">
        <f>($B$1/1000)*((AL5+1)/1.01325)*(273.15/(273.15+A19))</f>
        <v>4.5446336842850501</v>
      </c>
      <c r="AM19" s="17">
        <f>($B$1/1000)*((AM5+1)/1.01325)*(273.15/(273.15+A19))</f>
        <v>4.6701760512542503</v>
      </c>
      <c r="AN19" s="17">
        <f>($B$1/1000)*((AN5+1)/1.01325)*(273.15/(273.15+A19))</f>
        <v>4.7957184182234505</v>
      </c>
      <c r="AO19" s="17">
        <f>($B$1/1000)*((AO5+1)/1.01325)*(273.15/(273.15+A19))</f>
        <v>4.9212607851926506</v>
      </c>
      <c r="AP19" s="17">
        <f>($B$1/1000)*((AP5+1)/1.01325)*(273.15/(273.15+A19))</f>
        <v>5.0468031521618508</v>
      </c>
      <c r="AQ19" s="17">
        <f>($B$1/1000)*((AQ5+1)/1.01325)*(273.15/(273.15+A19))</f>
        <v>5.172345519131051</v>
      </c>
      <c r="AR19" s="17">
        <f>($B$1/1000)*((AR5+1)/1.01325)*(273.15/(273.15+A19))</f>
        <v>5.2978878861002512</v>
      </c>
      <c r="AS19" s="17">
        <f>($B$1/1000)*((AS5+1)/1.01325)*(273.15/(273.15+A19))</f>
        <v>5.4234302530694514</v>
      </c>
      <c r="AT19" s="17">
        <f>($B$1/1000)*((AT5+1)/1.01325)*(273.15/(273.15+A19))</f>
        <v>5.5489726200386515</v>
      </c>
      <c r="AU19" s="17">
        <f>($B$1/1000)*((AU5+1)/1.01325)*(273.15/(273.15+A19))</f>
        <v>5.6745149870078517</v>
      </c>
      <c r="AV19" s="17">
        <f>($B$1/1000)*((AV5+1)/1.01325)*(273.15/(273.15+A19))</f>
        <v>5.8000573539770519</v>
      </c>
      <c r="AW19" s="17">
        <f>($B$1/1000)*((AW5+1)/1.01325)*(273.15/(273.15+A19))</f>
        <v>5.925599720946253</v>
      </c>
      <c r="AX19" s="17">
        <f>($B$1/1000)*((AX5+1)/1.01325)*(273.15/(273.15+A19))</f>
        <v>6.0511420879154532</v>
      </c>
      <c r="AY19" s="17">
        <f>($B$1/1000)*((AY5+1)/1.01325)*(273.15/(273.15+A19))</f>
        <v>6.1766844548846533</v>
      </c>
      <c r="AZ19" s="17">
        <f>($B$1/1000)*((AZ5+1)/1.01325)*(273.15/(273.15+A19))</f>
        <v>6.3022268218538535</v>
      </c>
      <c r="BA19" s="17">
        <f>($B$1/1000)*((BA5+1)/1.01325)*(273.15/(273.15+A19))</f>
        <v>6.4277691888230537</v>
      </c>
      <c r="BB19" s="17">
        <f>($B$1/1000)*((BB5+1)/1.01325)*(273.15/(273.15+A19))</f>
        <v>6.5533115557922548</v>
      </c>
      <c r="BC19" s="17">
        <f>($B$1/1000)*((BC5+1)/1.01325)*(273.15/(273.15+A19))</f>
        <v>6.6788539227614541</v>
      </c>
      <c r="BD19" s="17">
        <f>($B$1/1000)*((BD5+1)/1.01325)*(273.15/(273.15+A19))</f>
        <v>6.8043962897306534</v>
      </c>
      <c r="BE19" s="17">
        <f>($B$1/1000)*((BE5+1)/1.01325)*(273.15/(273.15+A19))</f>
        <v>6.9299386566998544</v>
      </c>
      <c r="BF19" s="17">
        <f>($B$1/1000)*((BF5+1)/1.01325)*(273.15/(273.15+A19))</f>
        <v>7.0554810236690546</v>
      </c>
      <c r="BG19" s="17">
        <f>($B$1/1000)*((BG5+1)/1.01325)*(273.15/(273.15+A19))</f>
        <v>7.1810233906382548</v>
      </c>
      <c r="BH19" s="17">
        <f>($B$1/1000)*((BH5+1)/1.01325)*(273.15/(273.15+A19))</f>
        <v>7.3065657576074559</v>
      </c>
      <c r="BI19" s="17">
        <f>($B$1/1000)*((BI5+1)/1.01325)*(273.15/(273.15+A19))</f>
        <v>7.4321081245766569</v>
      </c>
      <c r="BJ19" s="17">
        <f>($B$1/1000)*((BJ5+1)/1.01325)*(273.15/(273.15+A19))</f>
        <v>7.5576504915458562</v>
      </c>
    </row>
    <row r="20" spans="1:62" ht="18.75">
      <c r="A20" s="2">
        <v>8</v>
      </c>
      <c r="B20" s="17">
        <f>($B$1/1000)*((B5+1)/1.01325)*(273.15/(273.15+A20))</f>
        <v>2.4929860742985775E-2</v>
      </c>
      <c r="C20" s="17">
        <f>($B$1/1000)*((C5+1)/1.01325)*(273.15/(273.15+A20))</f>
        <v>0.14957916445791467</v>
      </c>
      <c r="D20" s="17">
        <f>($B$1/1000)*((D5+1)/1.01325)*(273.15/(273.15+A20))</f>
        <v>0.27422846817284352</v>
      </c>
      <c r="E20" s="17">
        <f>($B$1/1000)*((E5+1)/1.01325)*(273.15/(273.15+A20))</f>
        <v>0.3988777718877724</v>
      </c>
      <c r="F20" s="17">
        <f>($B$1/1000)*((F5+1)/1.01325)*(273.15/(273.15+A20))</f>
        <v>0.52352707560270118</v>
      </c>
      <c r="G20" s="17">
        <f>($B$1/1000)*((G5+1)/1.01325)*(273.15/(273.15+A20))</f>
        <v>0.64817637931763017</v>
      </c>
      <c r="H20" s="17">
        <f>($B$1/1000)*((H5+1)/1.01325)*(273.15/(273.15+A20))</f>
        <v>0.77282568303255905</v>
      </c>
      <c r="I20" s="17">
        <f>($B$1/1000)*((I5+1)/1.01325)*(273.15/(273.15+A20))</f>
        <v>0.89747498674748794</v>
      </c>
      <c r="J20" s="17">
        <f>($B$1/1000)*((J5+1)/1.01325)*(273.15/(273.15+A20))</f>
        <v>1.0221242904624168</v>
      </c>
      <c r="K20" s="17">
        <f>($B$1/1000)*((K5+1)/1.01325)*(273.15/(273.15+A20))</f>
        <v>1.1467735941773458</v>
      </c>
      <c r="L20" s="17">
        <f>($B$1/1000)*((L5+1)/1.01325)*(273.15/(273.15+A20))</f>
        <v>1.2714228978922746</v>
      </c>
      <c r="M20" s="17">
        <f>($B$1/1000)*((M5+1)/1.01325)*(273.15/(273.15+A20))</f>
        <v>1.3960722016072034</v>
      </c>
      <c r="N20" s="17">
        <f>($B$1/1000)*((N5+1)/1.01325)*(273.15/(273.15+A20))</f>
        <v>1.5207215053221323</v>
      </c>
      <c r="O20" s="17">
        <f>($B$1/1000)*((O5+1)/1.01325)*(273.15/(273.15+A20))</f>
        <v>1.6453708090370611</v>
      </c>
      <c r="P20" s="17">
        <f>($B$1/1000)*((P5+1)/1.01325)*(273.15/(273.15+A20))</f>
        <v>1.7700201127519899</v>
      </c>
      <c r="Q20" s="17">
        <f>($B$1/1000)*((Q5+1)/1.01325)*(273.15/(273.15+A20))</f>
        <v>1.8946694164669191</v>
      </c>
      <c r="R20" s="17">
        <f>($B$1/1000)*((R5+1)/1.01325)*(273.15/(273.15+A20))</f>
        <v>2.0193187201818481</v>
      </c>
      <c r="S20" s="17">
        <f>($B$1/1000)*((S5+1)/1.01325)*(273.15/(273.15+A20))</f>
        <v>2.1439680238967762</v>
      </c>
      <c r="T20" s="17">
        <f>($B$1/1000)*((T5+1)/1.01325)*(273.15/(273.15+A20))</f>
        <v>2.2686173276117056</v>
      </c>
      <c r="U20" s="17">
        <f>($B$1/1000)*((U5+1)/1.01325)*(273.15/(273.15+A20))</f>
        <v>2.3932666313266346</v>
      </c>
      <c r="V20" s="17">
        <f>($B$1/1000)*((V5+1)/1.01325)*(273.15/(273.15+A20))</f>
        <v>2.5179159350415636</v>
      </c>
      <c r="W20" s="17">
        <f>($B$1/1000)*((W5+1)/1.01325)*(273.15/(273.15+A20))</f>
        <v>2.6425652387564922</v>
      </c>
      <c r="X20" s="17">
        <f>($B$1/1000)*((X5+1)/1.01325)*(273.15/(273.15+A20))</f>
        <v>2.7672145424714212</v>
      </c>
      <c r="Y20" s="17">
        <f>($B$1/1000)*((Y5+1)/1.01325)*(273.15/(273.15+A20))</f>
        <v>2.8918638461863502</v>
      </c>
      <c r="Z20" s="17">
        <f>($B$1/1000)*((Z5+1)/1.01325)*(273.15/(273.15+A20))</f>
        <v>3.0165131499012787</v>
      </c>
      <c r="AA20" s="17">
        <f>($B$1/1000)*((AA5+1)/1.01325)*(273.15/(273.15+A20))</f>
        <v>3.1411624536162077</v>
      </c>
      <c r="AB20" s="17">
        <f>($B$1/1000)*((AB5+1)/1.01325)*(273.15/(273.15+A20))</f>
        <v>3.2658117573311363</v>
      </c>
      <c r="AC20" s="17">
        <f>($B$1/1000)*((AC5+1)/1.01325)*(273.15/(273.15+A20))</f>
        <v>3.3904610610460653</v>
      </c>
      <c r="AD20" s="17">
        <f>($B$1/1000)*((AD5+1)/1.01325)*(273.15/(273.15+A20))</f>
        <v>3.5151103647609943</v>
      </c>
      <c r="AE20" s="17">
        <f>($B$1/1000)*((AE5+1)/1.01325)*(273.15/(273.15+A20))</f>
        <v>3.6397596684759232</v>
      </c>
      <c r="AF20" s="17">
        <f>($B$1/1000)*((AF5+1)/1.01325)*(273.15/(273.15+A20))</f>
        <v>3.7644089721908522</v>
      </c>
      <c r="AG20" s="17">
        <f>($B$1/1000)*((AG5+1)/1.01325)*(273.15/(273.15+A20))</f>
        <v>3.8890582759057812</v>
      </c>
      <c r="AH20" s="17">
        <f>($B$1/1000)*((AH5+1)/1.01325)*(273.15/(273.15+A20))</f>
        <v>4.0137075796207098</v>
      </c>
      <c r="AI20" s="17">
        <f>($B$1/1000)*((AI5+1)/1.01325)*(273.15/(273.15+A20))</f>
        <v>4.1383568833356392</v>
      </c>
      <c r="AJ20" s="17">
        <f>($B$1/1000)*((AJ5+1)/1.01325)*(273.15/(273.15+A20))</f>
        <v>4.2630061870505678</v>
      </c>
      <c r="AK20" s="17">
        <f>($B$1/1000)*((AK5+1)/1.01325)*(273.15/(273.15+A20))</f>
        <v>4.3876554907654963</v>
      </c>
      <c r="AL20" s="17">
        <f>($B$1/1000)*((AL5+1)/1.01325)*(273.15/(273.15+A20))</f>
        <v>4.5123047944804258</v>
      </c>
      <c r="AM20" s="17">
        <f>($B$1/1000)*((AM5+1)/1.01325)*(273.15/(273.15+A20))</f>
        <v>4.6369540981953543</v>
      </c>
      <c r="AN20" s="17">
        <f>($B$1/1000)*((AN5+1)/1.01325)*(273.15/(273.15+A20))</f>
        <v>4.7616034019102829</v>
      </c>
      <c r="AO20" s="17">
        <f>($B$1/1000)*((AO5+1)/1.01325)*(273.15/(273.15+A20))</f>
        <v>4.8862527056252123</v>
      </c>
      <c r="AP20" s="17">
        <f>($B$1/1000)*((AP5+1)/1.01325)*(273.15/(273.15+A20))</f>
        <v>5.0109020093401409</v>
      </c>
      <c r="AQ20" s="17">
        <f>($B$1/1000)*((AQ5+1)/1.01325)*(273.15/(273.15+A20))</f>
        <v>5.1355513130550694</v>
      </c>
      <c r="AR20" s="17">
        <f>($B$1/1000)*((AR5+1)/1.01325)*(273.15/(273.15+A20))</f>
        <v>5.2602006167699988</v>
      </c>
      <c r="AS20" s="17">
        <f>($B$1/1000)*((AS5+1)/1.01325)*(273.15/(273.15+A20))</f>
        <v>5.3848499204849274</v>
      </c>
      <c r="AT20" s="17">
        <f>($B$1/1000)*((AT5+1)/1.01325)*(273.15/(273.15+A20))</f>
        <v>5.5094992241998568</v>
      </c>
      <c r="AU20" s="17">
        <f>($B$1/1000)*((AU5+1)/1.01325)*(273.15/(273.15+A20))</f>
        <v>5.6341485279147854</v>
      </c>
      <c r="AV20" s="17">
        <f>($B$1/1000)*((AV5+1)/1.01325)*(273.15/(273.15+A20))</f>
        <v>5.7587978316297139</v>
      </c>
      <c r="AW20" s="17">
        <f>($B$1/1000)*((AW5+1)/1.01325)*(273.15/(273.15+A20))</f>
        <v>5.8834471353446434</v>
      </c>
      <c r="AX20" s="17">
        <f>($B$1/1000)*((AX5+1)/1.01325)*(273.15/(273.15+A20))</f>
        <v>6.0080964390595719</v>
      </c>
      <c r="AY20" s="17">
        <f>($B$1/1000)*((AY5+1)/1.01325)*(273.15/(273.15+A20))</f>
        <v>6.1327457427745005</v>
      </c>
      <c r="AZ20" s="17">
        <f>($B$1/1000)*((AZ5+1)/1.01325)*(273.15/(273.15+A20))</f>
        <v>6.2573950464894299</v>
      </c>
      <c r="BA20" s="17">
        <f>($B$1/1000)*((BA5+1)/1.01325)*(273.15/(273.15+A20))</f>
        <v>6.3820443502043585</v>
      </c>
      <c r="BB20" s="17">
        <f>($B$1/1000)*((BB5+1)/1.01325)*(273.15/(273.15+A20))</f>
        <v>6.5066936539192879</v>
      </c>
      <c r="BC20" s="17">
        <f>($B$1/1000)*((BC5+1)/1.01325)*(273.15/(273.15+A20))</f>
        <v>6.6313429576342164</v>
      </c>
      <c r="BD20" s="17">
        <f>($B$1/1000)*((BD5+1)/1.01325)*(273.15/(273.15+A20))</f>
        <v>6.7559922613491441</v>
      </c>
      <c r="BE20" s="17">
        <f>($B$1/1000)*((BE5+1)/1.01325)*(273.15/(273.15+A20))</f>
        <v>6.8806415650640744</v>
      </c>
      <c r="BF20" s="17">
        <f>($B$1/1000)*((BF5+1)/1.01325)*(273.15/(273.15+A20))</f>
        <v>7.005290868779003</v>
      </c>
      <c r="BG20" s="17">
        <f>($B$1/1000)*((BG5+1)/1.01325)*(273.15/(273.15+A20))</f>
        <v>7.1299401724939315</v>
      </c>
      <c r="BH20" s="17">
        <f>($B$1/1000)*((BH5+1)/1.01325)*(273.15/(273.15+A20))</f>
        <v>7.254589476208861</v>
      </c>
      <c r="BI20" s="17">
        <f>($B$1/1000)*((BI5+1)/1.01325)*(273.15/(273.15+A20))</f>
        <v>7.3792387799237904</v>
      </c>
      <c r="BJ20" s="17">
        <f>($B$1/1000)*((BJ5+1)/1.01325)*(273.15/(273.15+A20))</f>
        <v>7.5038880836387181</v>
      </c>
    </row>
    <row r="21" spans="1:62" ht="18.75">
      <c r="A21" s="2">
        <v>10</v>
      </c>
      <c r="B21" s="17">
        <f>($B$1/1000)*((B5+1)/1.01325)*(273.15/(273.15+A21))</f>
        <v>2.4753771315170231E-2</v>
      </c>
      <c r="C21" s="17">
        <f>($B$1/1000)*((C5+1)/1.01325)*(273.15/(273.15+A21))</f>
        <v>0.14852262789102141</v>
      </c>
      <c r="D21" s="17">
        <f>($B$1/1000)*((D5+1)/1.01325)*(273.15/(273.15+A21))</f>
        <v>0.27229148446687257</v>
      </c>
      <c r="E21" s="17">
        <f>($B$1/1000)*((E5+1)/1.01325)*(273.15/(273.15+A21))</f>
        <v>0.3960603410427237</v>
      </c>
      <c r="F21" s="17">
        <f>($B$1/1000)*((F5+1)/1.01325)*(273.15/(273.15+A21))</f>
        <v>0.51982919761857482</v>
      </c>
      <c r="G21" s="17">
        <f>($B$1/1000)*((G5+1)/1.01325)*(273.15/(273.15+A21))</f>
        <v>0.64359805419442606</v>
      </c>
      <c r="H21" s="17">
        <f>($B$1/1000)*((H5+1)/1.01325)*(273.15/(273.15+A21))</f>
        <v>0.7673669107702773</v>
      </c>
      <c r="I21" s="17">
        <f>($B$1/1000)*((I5+1)/1.01325)*(273.15/(273.15+A21))</f>
        <v>0.89113576734612843</v>
      </c>
      <c r="J21" s="17">
        <f>($B$1/1000)*((J5+1)/1.01325)*(273.15/(273.15+A21))</f>
        <v>1.0149046239219794</v>
      </c>
      <c r="K21" s="17">
        <f>($B$1/1000)*((K5+1)/1.01325)*(273.15/(273.15+A21))</f>
        <v>1.1386734804978309</v>
      </c>
      <c r="L21" s="17">
        <f>($B$1/1000)*((L5+1)/1.01325)*(273.15/(273.15+A21))</f>
        <v>1.2624423370736819</v>
      </c>
      <c r="M21" s="17">
        <f>($B$1/1000)*((M5+1)/1.01325)*(273.15/(273.15+A21))</f>
        <v>1.3862111936495329</v>
      </c>
      <c r="N21" s="17">
        <f>($B$1/1000)*((N5+1)/1.01325)*(273.15/(273.15+A21))</f>
        <v>1.5099800502253844</v>
      </c>
      <c r="O21" s="17">
        <f>($B$1/1000)*((O5+1)/1.01325)*(273.15/(273.15+A21))</f>
        <v>1.6337489068012352</v>
      </c>
      <c r="P21" s="17">
        <f>($B$1/1000)*((P5+1)/1.01325)*(273.15/(273.15+A21))</f>
        <v>1.7575177633770864</v>
      </c>
      <c r="Q21" s="17">
        <f>($B$1/1000)*((Q5+1)/1.01325)*(273.15/(273.15+A21))</f>
        <v>1.8812866199529379</v>
      </c>
      <c r="R21" s="17">
        <f>($B$1/1000)*((R5+1)/1.01325)*(273.15/(273.15+A21))</f>
        <v>2.0050554765287889</v>
      </c>
      <c r="S21" s="17">
        <f>($B$1/1000)*((S5+1)/1.01325)*(273.15/(273.15+A21))</f>
        <v>2.1288243331046397</v>
      </c>
      <c r="T21" s="17">
        <f>($B$1/1000)*((T5+1)/1.01325)*(273.15/(273.15+A21))</f>
        <v>2.2525931896804914</v>
      </c>
      <c r="U21" s="17">
        <f>($B$1/1000)*((U5+1)/1.01325)*(273.15/(273.15+A21))</f>
        <v>2.3763620462563426</v>
      </c>
      <c r="V21" s="17">
        <f>($B$1/1000)*((V5+1)/1.01325)*(273.15/(273.15+A21))</f>
        <v>2.5001309028321934</v>
      </c>
      <c r="W21" s="17">
        <f>($B$1/1000)*((W5+1)/1.01325)*(273.15/(273.15+A21))</f>
        <v>2.6238997594080447</v>
      </c>
      <c r="X21" s="17">
        <f>($B$1/1000)*((X5+1)/1.01325)*(273.15/(273.15+A21))</f>
        <v>2.7476686159838959</v>
      </c>
      <c r="Y21" s="17">
        <f>($B$1/1000)*((Y5+1)/1.01325)*(273.15/(273.15+A21))</f>
        <v>2.8714374725597471</v>
      </c>
      <c r="Z21" s="17">
        <f>($B$1/1000)*((Z5+1)/1.01325)*(273.15/(273.15+A21))</f>
        <v>2.9952063291355984</v>
      </c>
      <c r="AA21" s="17">
        <f>($B$1/1000)*((AA5+1)/1.01325)*(273.15/(273.15+A21))</f>
        <v>3.1189751857114496</v>
      </c>
      <c r="AB21" s="17">
        <f>($B$1/1000)*((AB5+1)/1.01325)*(273.15/(273.15+A21))</f>
        <v>3.2427440422873</v>
      </c>
      <c r="AC21" s="17">
        <f>($B$1/1000)*((AC5+1)/1.01325)*(273.15/(273.15+A21))</f>
        <v>3.3665128988631512</v>
      </c>
      <c r="AD21" s="17">
        <f>($B$1/1000)*((AD5+1)/1.01325)*(273.15/(273.15+A21))</f>
        <v>3.4902817554390029</v>
      </c>
      <c r="AE21" s="17">
        <f>($B$1/1000)*((AE5+1)/1.01325)*(273.15/(273.15+A21))</f>
        <v>3.6140506120148541</v>
      </c>
      <c r="AF21" s="17">
        <f>($B$1/1000)*((AF5+1)/1.01325)*(273.15/(273.15+A21))</f>
        <v>3.7378194685907054</v>
      </c>
      <c r="AG21" s="17">
        <f>($B$1/1000)*((AG5+1)/1.01325)*(273.15/(273.15+A21))</f>
        <v>3.8615883251665561</v>
      </c>
      <c r="AH21" s="17">
        <f>($B$1/1000)*((AH5+1)/1.01325)*(273.15/(273.15+A21))</f>
        <v>3.9853571817424074</v>
      </c>
      <c r="AI21" s="17">
        <f>($B$1/1000)*((AI5+1)/1.01325)*(273.15/(273.15+A21))</f>
        <v>4.1091260383182586</v>
      </c>
      <c r="AJ21" s="17">
        <f>($B$1/1000)*((AJ5+1)/1.01325)*(273.15/(273.15+A21))</f>
        <v>4.2328948948941099</v>
      </c>
      <c r="AK21" s="17">
        <f>($B$1/1000)*((AK5+1)/1.01325)*(273.15/(273.15+A21))</f>
        <v>4.3566637514699611</v>
      </c>
      <c r="AL21" s="17">
        <f>($B$1/1000)*((AL5+1)/1.01325)*(273.15/(273.15+A21))</f>
        <v>4.4804326080458123</v>
      </c>
      <c r="AM21" s="17">
        <f>($B$1/1000)*((AM5+1)/1.01325)*(273.15/(273.15+A21))</f>
        <v>4.6042014646216636</v>
      </c>
      <c r="AN21" s="17">
        <f>($B$1/1000)*((AN5+1)/1.01325)*(273.15/(273.15+A21))</f>
        <v>4.7279703211975148</v>
      </c>
      <c r="AO21" s="17">
        <f>($B$1/1000)*((AO5+1)/1.01325)*(273.15/(273.15+A21))</f>
        <v>4.8517391777733661</v>
      </c>
      <c r="AP21" s="17">
        <f>($B$1/1000)*((AP5+1)/1.01325)*(273.15/(273.15+A21))</f>
        <v>4.9755080343492164</v>
      </c>
      <c r="AQ21" s="17">
        <f>($B$1/1000)*((AQ5+1)/1.01325)*(273.15/(273.15+A21))</f>
        <v>5.0992768909250676</v>
      </c>
      <c r="AR21" s="17">
        <f>($B$1/1000)*((AR5+1)/1.01325)*(273.15/(273.15+A21))</f>
        <v>5.2230457475009189</v>
      </c>
      <c r="AS21" s="17">
        <f>($B$1/1000)*((AS5+1)/1.01325)*(273.15/(273.15+A21))</f>
        <v>5.3468146040767701</v>
      </c>
      <c r="AT21" s="17">
        <f>($B$1/1000)*((AT5+1)/1.01325)*(273.15/(273.15+A21))</f>
        <v>5.4705834606526214</v>
      </c>
      <c r="AU21" s="17">
        <f>($B$1/1000)*((AU5+1)/1.01325)*(273.15/(273.15+A21))</f>
        <v>5.5943523172284726</v>
      </c>
      <c r="AV21" s="17">
        <f>($B$1/1000)*((AV5+1)/1.01325)*(273.15/(273.15+A21))</f>
        <v>5.7181211738043238</v>
      </c>
      <c r="AW21" s="17">
        <f>($B$1/1000)*((AW5+1)/1.01325)*(273.15/(273.15+A21))</f>
        <v>5.8418900303801751</v>
      </c>
      <c r="AX21" s="17">
        <f>($B$1/1000)*((AX5+1)/1.01325)*(273.15/(273.15+A21))</f>
        <v>5.9656588869560263</v>
      </c>
      <c r="AY21" s="17">
        <f>($B$1/1000)*((AY5+1)/1.01325)*(273.15/(273.15+A21))</f>
        <v>6.0894277435318775</v>
      </c>
      <c r="AZ21" s="17">
        <f>($B$1/1000)*((AZ5+1)/1.01325)*(273.15/(273.15+A21))</f>
        <v>6.2131966001077288</v>
      </c>
      <c r="BA21" s="17">
        <f>($B$1/1000)*((BA5+1)/1.01325)*(273.15/(273.15+A21))</f>
        <v>6.3369654566835791</v>
      </c>
      <c r="BB21" s="17">
        <f>($B$1/1000)*((BB5+1)/1.01325)*(273.15/(273.15+A21))</f>
        <v>6.4607343132594313</v>
      </c>
      <c r="BC21" s="17">
        <f>($B$1/1000)*((BC5+1)/1.01325)*(273.15/(273.15+A21))</f>
        <v>6.5845031698352816</v>
      </c>
      <c r="BD21" s="17">
        <f>($B$1/1000)*((BD5+1)/1.01325)*(273.15/(273.15+A21))</f>
        <v>6.708272026411132</v>
      </c>
      <c r="BE21" s="17">
        <f>($B$1/1000)*((BE5+1)/1.01325)*(273.15/(273.15+A21))</f>
        <v>6.8320408829869841</v>
      </c>
      <c r="BF21" s="17">
        <f>($B$1/1000)*((BF5+1)/1.01325)*(273.15/(273.15+A21))</f>
        <v>6.9558097395628353</v>
      </c>
      <c r="BG21" s="17">
        <f>($B$1/1000)*((BG5+1)/1.01325)*(273.15/(273.15+A21))</f>
        <v>7.0795785961386866</v>
      </c>
      <c r="BH21" s="17">
        <f>($B$1/1000)*((BH5+1)/1.01325)*(273.15/(273.15+A21))</f>
        <v>7.2033474527145378</v>
      </c>
      <c r="BI21" s="17">
        <f>($B$1/1000)*((BI5+1)/1.01325)*(273.15/(273.15+A21))</f>
        <v>7.3271163092903899</v>
      </c>
      <c r="BJ21" s="17">
        <f>($B$1/1000)*((BJ5+1)/1.01325)*(273.15/(273.15+A21))</f>
        <v>7.4508851658662403</v>
      </c>
    </row>
    <row r="22" spans="1:62" ht="18.75">
      <c r="A22" s="2">
        <v>12</v>
      </c>
      <c r="B22" s="17">
        <f>($B$1/1000)*((B5+1)/1.01325)*(273.15/(273.15+A22))</f>
        <v>2.4580152017851836E-2</v>
      </c>
      <c r="C22" s="17">
        <f>($B$1/1000)*((C5+1)/1.01325)*(273.15/(273.15+A22))</f>
        <v>0.14748091210711101</v>
      </c>
      <c r="D22" s="17">
        <f>($B$1/1000)*((D5+1)/1.01325)*(273.15/(273.15+A22))</f>
        <v>0.27038167219637022</v>
      </c>
      <c r="E22" s="17">
        <f>($B$1/1000)*((E5+1)/1.01325)*(273.15/(273.15+A22))</f>
        <v>0.39328243228562937</v>
      </c>
      <c r="F22" s="17">
        <f>($B$1/1000)*((F5+1)/1.01325)*(273.15/(273.15+A22))</f>
        <v>0.51618319237488852</v>
      </c>
      <c r="G22" s="17">
        <f>($B$1/1000)*((G5+1)/1.01325)*(273.15/(273.15+A22))</f>
        <v>0.63908395246414773</v>
      </c>
      <c r="H22" s="17">
        <f>($B$1/1000)*((H5+1)/1.01325)*(273.15/(273.15+A22))</f>
        <v>0.76198471255340694</v>
      </c>
      <c r="I22" s="17">
        <f>($B$1/1000)*((I5+1)/1.01325)*(273.15/(273.15+A22))</f>
        <v>0.88488547264266615</v>
      </c>
      <c r="J22" s="17">
        <f>($B$1/1000)*((J5+1)/1.01325)*(273.15/(273.15+A22))</f>
        <v>1.0077862327319251</v>
      </c>
      <c r="K22" s="17">
        <f>($B$1/1000)*((K5+1)/1.01325)*(273.15/(273.15+A22))</f>
        <v>1.1306869928211845</v>
      </c>
      <c r="L22" s="17">
        <f>($B$1/1000)*((L5+1)/1.01325)*(273.15/(273.15+A22))</f>
        <v>1.2535877529104438</v>
      </c>
      <c r="M22" s="17">
        <f>($B$1/1000)*((M5+1)/1.01325)*(273.15/(273.15+A22))</f>
        <v>1.3764885129997027</v>
      </c>
      <c r="N22" s="17">
        <f>($B$1/1000)*((N5+1)/1.01325)*(273.15/(273.15+A22))</f>
        <v>1.499389273088962</v>
      </c>
      <c r="O22" s="17">
        <f>($B$1/1000)*((O5+1)/1.01325)*(273.15/(273.15+A22))</f>
        <v>1.6222900331782211</v>
      </c>
      <c r="P22" s="17">
        <f>($B$1/1000)*((P5+1)/1.01325)*(273.15/(273.15+A22))</f>
        <v>1.7451907932674802</v>
      </c>
      <c r="Q22" s="17">
        <f>($B$1/1000)*((Q5+1)/1.01325)*(273.15/(273.15+A22))</f>
        <v>1.8680915533567395</v>
      </c>
      <c r="R22" s="17">
        <f>($B$1/1000)*((R5+1)/1.01325)*(273.15/(273.15+A22))</f>
        <v>1.9909923134459988</v>
      </c>
      <c r="S22" s="17">
        <f>($B$1/1000)*((S5+1)/1.01325)*(273.15/(273.15+A22))</f>
        <v>2.1138930735352575</v>
      </c>
      <c r="T22" s="17">
        <f>($B$1/1000)*((T5+1)/1.01325)*(273.15/(273.15+A22))</f>
        <v>2.236793833624517</v>
      </c>
      <c r="U22" s="17">
        <f>($B$1/1000)*((U5+1)/1.01325)*(273.15/(273.15+A22))</f>
        <v>2.3596945937137761</v>
      </c>
      <c r="V22" s="17">
        <f>($B$1/1000)*((V5+1)/1.01325)*(273.15/(273.15+A22))</f>
        <v>2.4825953538030356</v>
      </c>
      <c r="W22" s="17">
        <f>($B$1/1000)*((W5+1)/1.01325)*(273.15/(273.15+A22))</f>
        <v>2.6054961138922947</v>
      </c>
      <c r="X22" s="17">
        <f>($B$1/1000)*((X5+1)/1.01325)*(273.15/(273.15+A22))</f>
        <v>2.7283968739815538</v>
      </c>
      <c r="Y22" s="17">
        <f>($B$1/1000)*((Y5+1)/1.01325)*(273.15/(273.15+A22))</f>
        <v>2.8512976340708129</v>
      </c>
      <c r="Z22" s="17">
        <f>($B$1/1000)*((Z5+1)/1.01325)*(273.15/(273.15+A22))</f>
        <v>2.974198394160072</v>
      </c>
      <c r="AA22" s="17">
        <f>($B$1/1000)*((AA5+1)/1.01325)*(273.15/(273.15+A22))</f>
        <v>3.0970991542493311</v>
      </c>
      <c r="AB22" s="17">
        <f>($B$1/1000)*((AB5+1)/1.01325)*(273.15/(273.15+A22))</f>
        <v>3.2199999143385902</v>
      </c>
      <c r="AC22" s="17">
        <f>($B$1/1000)*((AC5+1)/1.01325)*(273.15/(273.15+A22))</f>
        <v>3.3429006744278493</v>
      </c>
      <c r="AD22" s="17">
        <f>($B$1/1000)*((AD5+1)/1.01325)*(273.15/(273.15+A22))</f>
        <v>3.4658014345171089</v>
      </c>
      <c r="AE22" s="17">
        <f>($B$1/1000)*((AE5+1)/1.01325)*(273.15/(273.15+A22))</f>
        <v>3.588702194606368</v>
      </c>
      <c r="AF22" s="17">
        <f>($B$1/1000)*((AF5+1)/1.01325)*(273.15/(273.15+A22))</f>
        <v>3.7116029546956271</v>
      </c>
      <c r="AG22" s="17">
        <f>($B$1/1000)*((AG5+1)/1.01325)*(273.15/(273.15+A22))</f>
        <v>3.8345037147848862</v>
      </c>
      <c r="AH22" s="17">
        <f>($B$1/1000)*((AH5+1)/1.01325)*(273.15/(273.15+A22))</f>
        <v>3.9574044748741457</v>
      </c>
      <c r="AI22" s="17">
        <f>($B$1/1000)*((AI5+1)/1.01325)*(273.15/(273.15+A22))</f>
        <v>4.0803052349634044</v>
      </c>
      <c r="AJ22" s="17">
        <f>($B$1/1000)*((AJ5+1)/1.01325)*(273.15/(273.15+A22))</f>
        <v>4.2032059950526639</v>
      </c>
      <c r="AK22" s="17">
        <f>($B$1/1000)*((AK5+1)/1.01325)*(273.15/(273.15+A22))</f>
        <v>4.3261067551419234</v>
      </c>
      <c r="AL22" s="17">
        <f>($B$1/1000)*((AL5+1)/1.01325)*(273.15/(273.15+A22))</f>
        <v>4.4490075152311821</v>
      </c>
      <c r="AM22" s="17">
        <f>($B$1/1000)*((AM5+1)/1.01325)*(273.15/(273.15+A22))</f>
        <v>4.5719082753204416</v>
      </c>
      <c r="AN22" s="17">
        <f>($B$1/1000)*((AN5+1)/1.01325)*(273.15/(273.15+A22))</f>
        <v>4.6948090354097003</v>
      </c>
      <c r="AO22" s="17">
        <f>($B$1/1000)*((AO5+1)/1.01325)*(273.15/(273.15+A22))</f>
        <v>4.8177097954989598</v>
      </c>
      <c r="AP22" s="17">
        <f>($B$1/1000)*((AP5+1)/1.01325)*(273.15/(273.15+A22))</f>
        <v>4.9406105555882185</v>
      </c>
      <c r="AQ22" s="17">
        <f>($B$1/1000)*((AQ5+1)/1.01325)*(273.15/(273.15+A22))</f>
        <v>5.063511315677478</v>
      </c>
      <c r="AR22" s="17">
        <f>($B$1/1000)*((AR5+1)/1.01325)*(273.15/(273.15+A22))</f>
        <v>5.1864120757667376</v>
      </c>
      <c r="AS22" s="17">
        <f>($B$1/1000)*((AS5+1)/1.01325)*(273.15/(273.15+A22))</f>
        <v>5.3093128358559962</v>
      </c>
      <c r="AT22" s="17">
        <f>($B$1/1000)*((AT5+1)/1.01325)*(273.15/(273.15+A22))</f>
        <v>5.4322135959452558</v>
      </c>
      <c r="AU22" s="17">
        <f>($B$1/1000)*((AU5+1)/1.01325)*(273.15/(273.15+A22))</f>
        <v>5.5551143560345144</v>
      </c>
      <c r="AV22" s="17">
        <f>($B$1/1000)*((AV5+1)/1.01325)*(273.15/(273.15+A22))</f>
        <v>5.678015116123774</v>
      </c>
      <c r="AW22" s="17">
        <f>($B$1/1000)*((AW5+1)/1.01325)*(273.15/(273.15+A22))</f>
        <v>5.8009158762130335</v>
      </c>
      <c r="AX22" s="17">
        <f>($B$1/1000)*((AX5+1)/1.01325)*(273.15/(273.15+A22))</f>
        <v>5.9238166363022922</v>
      </c>
      <c r="AY22" s="17">
        <f>($B$1/1000)*((AY5+1)/1.01325)*(273.15/(273.15+A22))</f>
        <v>6.0467173963915517</v>
      </c>
      <c r="AZ22" s="17">
        <f>($B$1/1000)*((AZ5+1)/1.01325)*(273.15/(273.15+A22))</f>
        <v>6.1696181564808104</v>
      </c>
      <c r="BA22" s="17">
        <f>($B$1/1000)*((BA5+1)/1.01325)*(273.15/(273.15+A22))</f>
        <v>6.2925189165700699</v>
      </c>
      <c r="BB22" s="17">
        <f>($B$1/1000)*((BB5+1)/1.01325)*(273.15/(273.15+A22))</f>
        <v>6.4154196766593294</v>
      </c>
      <c r="BC22" s="17">
        <f>($B$1/1000)*((BC5+1)/1.01325)*(273.15/(273.15+A22))</f>
        <v>6.5383204367485881</v>
      </c>
      <c r="BD22" s="17">
        <f>($B$1/1000)*((BD5+1)/1.01325)*(273.15/(273.15+A22))</f>
        <v>6.6612211968378467</v>
      </c>
      <c r="BE22" s="17">
        <f>($B$1/1000)*((BE5+1)/1.01325)*(273.15/(273.15+A22))</f>
        <v>6.7841219569271063</v>
      </c>
      <c r="BF22" s="17">
        <f>($B$1/1000)*((BF5+1)/1.01325)*(273.15/(273.15+A22))</f>
        <v>6.9070227170163658</v>
      </c>
      <c r="BG22" s="17">
        <f>($B$1/1000)*((BG5+1)/1.01325)*(273.15/(273.15+A22))</f>
        <v>7.0299234771056245</v>
      </c>
      <c r="BH22" s="17">
        <f>($B$1/1000)*((BH5+1)/1.01325)*(273.15/(273.15+A22))</f>
        <v>7.152824237194884</v>
      </c>
      <c r="BI22" s="17">
        <f>($B$1/1000)*((BI5+1)/1.01325)*(273.15/(273.15+A22))</f>
        <v>7.2757249972841445</v>
      </c>
      <c r="BJ22" s="17">
        <f>($B$1/1000)*((BJ5+1)/1.01325)*(273.15/(273.15+A22))</f>
        <v>7.3986257573734022</v>
      </c>
    </row>
    <row r="23" spans="1:62" ht="18.75">
      <c r="A23" s="2">
        <v>14</v>
      </c>
      <c r="B23" s="17">
        <f>($B$1/1000)*((B5+1)/1.01325)*(273.15/(273.15+A23))</f>
        <v>2.44089512376474E-2</v>
      </c>
      <c r="C23" s="17">
        <f>($B$1/1000)*((C5+1)/1.01325)*(273.15/(273.15+A23))</f>
        <v>0.1464537074258844</v>
      </c>
      <c r="D23" s="17">
        <f>($B$1/1000)*((D5+1)/1.01325)*(273.15/(273.15+A23))</f>
        <v>0.26849846361412139</v>
      </c>
      <c r="E23" s="17">
        <f>($B$1/1000)*((E5+1)/1.01325)*(273.15/(273.15+A23))</f>
        <v>0.3905432198023584</v>
      </c>
      <c r="F23" s="17">
        <f>($B$1/1000)*((F5+1)/1.01325)*(273.15/(273.15+A23))</f>
        <v>0.51258797599059536</v>
      </c>
      <c r="G23" s="17">
        <f>($B$1/1000)*((G5+1)/1.01325)*(273.15/(273.15+A23))</f>
        <v>0.63463273217883243</v>
      </c>
      <c r="H23" s="17">
        <f>($B$1/1000)*((H5+1)/1.01325)*(273.15/(273.15+A23))</f>
        <v>0.7566774883670695</v>
      </c>
      <c r="I23" s="17">
        <f>($B$1/1000)*((I5+1)/1.01325)*(273.15/(273.15+A23))</f>
        <v>0.87872224455530645</v>
      </c>
      <c r="J23" s="17">
        <f>($B$1/1000)*((J5+1)/1.01325)*(273.15/(273.15+A23))</f>
        <v>1.0007670007435434</v>
      </c>
      <c r="K23" s="17">
        <f>($B$1/1000)*((K5+1)/1.01325)*(273.15/(273.15+A23))</f>
        <v>1.1228117569317806</v>
      </c>
      <c r="L23" s="17">
        <f>($B$1/1000)*((L5+1)/1.01325)*(273.15/(273.15+A23))</f>
        <v>1.2448565131200175</v>
      </c>
      <c r="M23" s="17">
        <f>($B$1/1000)*((M5+1)/1.01325)*(273.15/(273.15+A23))</f>
        <v>1.3669012693082543</v>
      </c>
      <c r="N23" s="17">
        <f>($B$1/1000)*((N5+1)/1.01325)*(273.15/(273.15+A23))</f>
        <v>1.4889460254964915</v>
      </c>
      <c r="O23" s="17">
        <f>($B$1/1000)*((O5+1)/1.01325)*(273.15/(273.15+A23))</f>
        <v>1.6109907816847284</v>
      </c>
      <c r="P23" s="17">
        <f>($B$1/1000)*((P5+1)/1.01325)*(273.15/(273.15+A23))</f>
        <v>1.7330355378729654</v>
      </c>
      <c r="Q23" s="17">
        <f>($B$1/1000)*((Q5+1)/1.01325)*(273.15/(273.15+A23))</f>
        <v>1.8550802940612026</v>
      </c>
      <c r="R23" s="17">
        <f>($B$1/1000)*((R5+1)/1.01325)*(273.15/(273.15+A23))</f>
        <v>1.9771250502494395</v>
      </c>
      <c r="S23" s="17">
        <f>($B$1/1000)*((S5+1)/1.01325)*(273.15/(273.15+A23))</f>
        <v>2.099169806437676</v>
      </c>
      <c r="T23" s="17">
        <f>($B$1/1000)*((T5+1)/1.01325)*(273.15/(273.15+A23))</f>
        <v>2.2212145626259137</v>
      </c>
      <c r="U23" s="17">
        <f>($B$1/1000)*((U5+1)/1.01325)*(273.15/(273.15+A23))</f>
        <v>2.3432593188141504</v>
      </c>
      <c r="V23" s="17">
        <f>($B$1/1000)*((V5+1)/1.01325)*(273.15/(273.15+A23))</f>
        <v>2.4653040750023876</v>
      </c>
      <c r="W23" s="17">
        <f>($B$1/1000)*((W5+1)/1.01325)*(273.15/(273.15+A23))</f>
        <v>2.5873488311906248</v>
      </c>
      <c r="X23" s="17">
        <f>($B$1/1000)*((X5+1)/1.01325)*(273.15/(273.15+A23))</f>
        <v>2.7093935873788615</v>
      </c>
      <c r="Y23" s="17">
        <f>($B$1/1000)*((Y5+1)/1.01325)*(273.15/(273.15+A23))</f>
        <v>2.8314383435670987</v>
      </c>
      <c r="Z23" s="17">
        <f>($B$1/1000)*((Z5+1)/1.01325)*(273.15/(273.15+A23))</f>
        <v>2.9534830997553354</v>
      </c>
      <c r="AA23" s="17">
        <f>($B$1/1000)*((AA5+1)/1.01325)*(273.15/(273.15+A23))</f>
        <v>3.0755278559435726</v>
      </c>
      <c r="AB23" s="17">
        <f>($B$1/1000)*((AB5+1)/1.01325)*(273.15/(273.15+A23))</f>
        <v>3.1975726121318093</v>
      </c>
      <c r="AC23" s="17">
        <f>($B$1/1000)*((AC5+1)/1.01325)*(273.15/(273.15+A23))</f>
        <v>3.3196173683200461</v>
      </c>
      <c r="AD23" s="17">
        <f>($B$1/1000)*((AD5+1)/1.01325)*(273.15/(273.15+A23))</f>
        <v>3.4416621245082837</v>
      </c>
      <c r="AE23" s="17">
        <f>($B$1/1000)*((AE5+1)/1.01325)*(273.15/(273.15+A23))</f>
        <v>3.5637068806965204</v>
      </c>
      <c r="AF23" s="17">
        <f>($B$1/1000)*((AF5+1)/1.01325)*(273.15/(273.15+A23))</f>
        <v>3.6857516368847576</v>
      </c>
      <c r="AG23" s="17">
        <f>($B$1/1000)*((AG5+1)/1.01325)*(273.15/(273.15+A23))</f>
        <v>3.8077963930729948</v>
      </c>
      <c r="AH23" s="17">
        <f>($B$1/1000)*((AH5+1)/1.01325)*(273.15/(273.15+A23))</f>
        <v>3.9298411492612315</v>
      </c>
      <c r="AI23" s="17">
        <f>($B$1/1000)*((AI5+1)/1.01325)*(273.15/(273.15+A23))</f>
        <v>4.0518859054494687</v>
      </c>
      <c r="AJ23" s="17">
        <f>($B$1/1000)*((AJ5+1)/1.01325)*(273.15/(273.15+A23))</f>
        <v>4.1739306616377059</v>
      </c>
      <c r="AK23" s="17">
        <f>($B$1/1000)*((AK5+1)/1.01325)*(273.15/(273.15+A23))</f>
        <v>4.2959754178259422</v>
      </c>
      <c r="AL23" s="17">
        <f>($B$1/1000)*((AL5+1)/1.01325)*(273.15/(273.15+A23))</f>
        <v>4.4180201740141793</v>
      </c>
      <c r="AM23" s="17">
        <f>($B$1/1000)*((AM5+1)/1.01325)*(273.15/(273.15+A23))</f>
        <v>4.5400649302024165</v>
      </c>
      <c r="AN23" s="17">
        <f>($B$1/1000)*((AN5+1)/1.01325)*(273.15/(273.15+A23))</f>
        <v>4.6621096863906537</v>
      </c>
      <c r="AO23" s="17">
        <f>($B$1/1000)*((AO5+1)/1.01325)*(273.15/(273.15+A23))</f>
        <v>4.7841544425788909</v>
      </c>
      <c r="AP23" s="17">
        <f>($B$1/1000)*((AP5+1)/1.01325)*(273.15/(273.15+A23))</f>
        <v>4.9061991987671272</v>
      </c>
      <c r="AQ23" s="17">
        <f>($B$1/1000)*((AQ5+1)/1.01325)*(273.15/(273.15+A23))</f>
        <v>5.0282439549553644</v>
      </c>
      <c r="AR23" s="17">
        <f>($B$1/1000)*((AR5+1)/1.01325)*(273.15/(273.15+A23))</f>
        <v>5.1502887111436015</v>
      </c>
      <c r="AS23" s="17">
        <f>($B$1/1000)*((AS5+1)/1.01325)*(273.15/(273.15+A23))</f>
        <v>5.2723334673318387</v>
      </c>
      <c r="AT23" s="17">
        <f>($B$1/1000)*((AT5+1)/1.01325)*(273.15/(273.15+A23))</f>
        <v>5.3943782235200759</v>
      </c>
      <c r="AU23" s="17">
        <f>($B$1/1000)*((AU5+1)/1.01325)*(273.15/(273.15+A23))</f>
        <v>5.5164229797083122</v>
      </c>
      <c r="AV23" s="17">
        <f>($B$1/1000)*((AV5+1)/1.01325)*(273.15/(273.15+A23))</f>
        <v>5.6384677358965494</v>
      </c>
      <c r="AW23" s="17">
        <f>($B$1/1000)*((AW5+1)/1.01325)*(273.15/(273.15+A23))</f>
        <v>5.7605124920847866</v>
      </c>
      <c r="AX23" s="17">
        <f>($B$1/1000)*((AX5+1)/1.01325)*(273.15/(273.15+A23))</f>
        <v>5.8825572482730237</v>
      </c>
      <c r="AY23" s="17">
        <f>($B$1/1000)*((AY5+1)/1.01325)*(273.15/(273.15+A23))</f>
        <v>6.0046020044612609</v>
      </c>
      <c r="AZ23" s="17">
        <f>($B$1/1000)*((AZ5+1)/1.01325)*(273.15/(273.15+A23))</f>
        <v>6.1266467606494972</v>
      </c>
      <c r="BA23" s="17">
        <f>($B$1/1000)*((BA5+1)/1.01325)*(273.15/(273.15+A23))</f>
        <v>6.2486915168377344</v>
      </c>
      <c r="BB23" s="17">
        <f>($B$1/1000)*((BB5+1)/1.01325)*(273.15/(273.15+A23))</f>
        <v>6.3707362730259725</v>
      </c>
      <c r="BC23" s="17">
        <f>($B$1/1000)*((BC5+1)/1.01325)*(273.15/(273.15+A23))</f>
        <v>6.4927810292142087</v>
      </c>
      <c r="BD23" s="17">
        <f>($B$1/1000)*((BD5+1)/1.01325)*(273.15/(273.15+A23))</f>
        <v>6.614825785402445</v>
      </c>
      <c r="BE23" s="17">
        <f>($B$1/1000)*((BE5+1)/1.01325)*(273.15/(273.15+A23))</f>
        <v>6.7368705415906822</v>
      </c>
      <c r="BF23" s="17">
        <f>($B$1/1000)*((BF5+1)/1.01325)*(273.15/(273.15+A23))</f>
        <v>6.8589152977789194</v>
      </c>
      <c r="BG23" s="17">
        <f>($B$1/1000)*((BG5+1)/1.01325)*(273.15/(273.15+A23))</f>
        <v>6.9809600539671566</v>
      </c>
      <c r="BH23" s="17">
        <f>($B$1/1000)*((BH5+1)/1.01325)*(273.15/(273.15+A23))</f>
        <v>7.1030048101553938</v>
      </c>
      <c r="BI23" s="17">
        <f>($B$1/1000)*((BI5+1)/1.01325)*(273.15/(273.15+A23))</f>
        <v>7.2250495663436318</v>
      </c>
      <c r="BJ23" s="17">
        <f>($B$1/1000)*((BJ5+1)/1.01325)*(273.15/(273.15+A23))</f>
        <v>7.3470943225318672</v>
      </c>
    </row>
    <row r="24" spans="1:62" ht="18.75">
      <c r="A24" s="2">
        <v>16</v>
      </c>
      <c r="B24" s="17">
        <f>($B$1/1000)*((B5+1)/1.01325)*(273.15/(273.15+A24))</f>
        <v>2.4240118789176729E-2</v>
      </c>
      <c r="C24" s="17">
        <f>($B$1/1000)*((C5+1)/1.01325)*(273.15/(273.15+A24))</f>
        <v>0.14544071273506037</v>
      </c>
      <c r="D24" s="17">
        <f>($B$1/1000)*((D5+1)/1.01325)*(273.15/(273.15+A24))</f>
        <v>0.26664130668094399</v>
      </c>
      <c r="E24" s="17">
        <f>($B$1/1000)*((E5+1)/1.01325)*(273.15/(273.15+A24))</f>
        <v>0.38784190062682766</v>
      </c>
      <c r="F24" s="17">
        <f>($B$1/1000)*((F5+1)/1.01325)*(273.15/(273.15+A24))</f>
        <v>0.50904249457271122</v>
      </c>
      <c r="G24" s="17">
        <f>($B$1/1000)*((G5+1)/1.01325)*(273.15/(273.15+A24))</f>
        <v>0.63024308851859501</v>
      </c>
      <c r="H24" s="17">
        <f>($B$1/1000)*((H5+1)/1.01325)*(273.15/(273.15+A24))</f>
        <v>0.75144368246447857</v>
      </c>
      <c r="I24" s="17">
        <f>($B$1/1000)*((I5+1)/1.01325)*(273.15/(273.15+A24))</f>
        <v>0.87264427641036224</v>
      </c>
      <c r="J24" s="17">
        <f>($B$1/1000)*((J5+1)/1.01325)*(273.15/(273.15+A24))</f>
        <v>0.9938448703562458</v>
      </c>
      <c r="K24" s="17">
        <f>($B$1/1000)*((K5+1)/1.01325)*(273.15/(273.15+A24))</f>
        <v>1.1150454643021297</v>
      </c>
      <c r="L24" s="17">
        <f>($B$1/1000)*((L5+1)/1.01325)*(273.15/(273.15+A24))</f>
        <v>1.2362460582480133</v>
      </c>
      <c r="M24" s="17">
        <f>($B$1/1000)*((M5+1)/1.01325)*(273.15/(273.15+A24))</f>
        <v>1.3574466521938966</v>
      </c>
      <c r="N24" s="17">
        <f>($B$1/1000)*((N5+1)/1.01325)*(273.15/(273.15+A24))</f>
        <v>1.4786472461397806</v>
      </c>
      <c r="O24" s="17">
        <f>($B$1/1000)*((O5+1)/1.01325)*(273.15/(273.15+A24))</f>
        <v>1.5998478400856639</v>
      </c>
      <c r="P24" s="17">
        <f>($B$1/1000)*((P5+1)/1.01325)*(273.15/(273.15+A24))</f>
        <v>1.7210484340315475</v>
      </c>
      <c r="Q24" s="17">
        <f>($B$1/1000)*((Q5+1)/1.01325)*(273.15/(273.15+A24))</f>
        <v>1.8422490279774315</v>
      </c>
      <c r="R24" s="17">
        <f>($B$1/1000)*((R5+1)/1.01325)*(273.15/(273.15+A24))</f>
        <v>1.9634496219233151</v>
      </c>
      <c r="S24" s="17">
        <f>($B$1/1000)*((S5+1)/1.01325)*(273.15/(273.15+A24))</f>
        <v>2.0846502158691984</v>
      </c>
      <c r="T24" s="17">
        <f>($B$1/1000)*((T5+1)/1.01325)*(273.15/(273.15+A24))</f>
        <v>2.2058508098150824</v>
      </c>
      <c r="U24" s="17">
        <f>($B$1/1000)*((U5+1)/1.01325)*(273.15/(273.15+A24))</f>
        <v>2.327051403760966</v>
      </c>
      <c r="V24" s="17">
        <f>($B$1/1000)*((V5+1)/1.01325)*(273.15/(273.15+A24))</f>
        <v>2.4482519977068495</v>
      </c>
      <c r="W24" s="17">
        <f>($B$1/1000)*((W5+1)/1.01325)*(273.15/(273.15+A24))</f>
        <v>2.5694525916527331</v>
      </c>
      <c r="X24" s="17">
        <f>($B$1/1000)*((X5+1)/1.01325)*(273.15/(273.15+A24))</f>
        <v>2.6906531855986167</v>
      </c>
      <c r="Y24" s="17">
        <f>($B$1/1000)*((Y5+1)/1.01325)*(273.15/(273.15+A24))</f>
        <v>2.8118537795445007</v>
      </c>
      <c r="Z24" s="17">
        <f>($B$1/1000)*((Z5+1)/1.01325)*(273.15/(273.15+A24))</f>
        <v>2.9330543734903842</v>
      </c>
      <c r="AA24" s="17">
        <f>($B$1/1000)*((AA5+1)/1.01325)*(273.15/(273.15+A24))</f>
        <v>3.0542549674362678</v>
      </c>
      <c r="AB24" s="17">
        <f>($B$1/1000)*((AB5+1)/1.01325)*(273.15/(273.15+A24))</f>
        <v>3.1754555613821509</v>
      </c>
      <c r="AC24" s="17">
        <f>($B$1/1000)*((AC5+1)/1.01325)*(273.15/(273.15+A24))</f>
        <v>3.2966561553280345</v>
      </c>
      <c r="AD24" s="17">
        <f>($B$1/1000)*((AD5+1)/1.01325)*(273.15/(273.15+A24))</f>
        <v>3.4178567492739185</v>
      </c>
      <c r="AE24" s="17">
        <f>($B$1/1000)*((AE5+1)/1.01325)*(273.15/(273.15+A24))</f>
        <v>3.5390573432198025</v>
      </c>
      <c r="AF24" s="17">
        <f>($B$1/1000)*((AF5+1)/1.01325)*(273.15/(273.15+A24))</f>
        <v>3.660257937165686</v>
      </c>
      <c r="AG24" s="17">
        <f>($B$1/1000)*((AG5+1)/1.01325)*(273.15/(273.15+A24))</f>
        <v>3.7814585311115696</v>
      </c>
      <c r="AH24" s="17">
        <f>($B$1/1000)*((AH5+1)/1.01325)*(273.15/(273.15+A24))</f>
        <v>3.9026591250574532</v>
      </c>
      <c r="AI24" s="17">
        <f>($B$1/1000)*((AI5+1)/1.01325)*(273.15/(273.15+A24))</f>
        <v>4.0238597190033367</v>
      </c>
      <c r="AJ24" s="17">
        <f>($B$1/1000)*((AJ5+1)/1.01325)*(273.15/(273.15+A24))</f>
        <v>4.1450603129492203</v>
      </c>
      <c r="AK24" s="17">
        <f>($B$1/1000)*((AK5+1)/1.01325)*(273.15/(273.15+A24))</f>
        <v>4.2662609068951038</v>
      </c>
      <c r="AL24" s="17">
        <f>($B$1/1000)*((AL5+1)/1.01325)*(273.15/(273.15+A24))</f>
        <v>4.3874615008409874</v>
      </c>
      <c r="AM24" s="17">
        <f>($B$1/1000)*((AM5+1)/1.01325)*(273.15/(273.15+A24))</f>
        <v>4.508662094786871</v>
      </c>
      <c r="AN24" s="17">
        <f>($B$1/1000)*((AN5+1)/1.01325)*(273.15/(273.15+A24))</f>
        <v>4.6298626887327554</v>
      </c>
      <c r="AO24" s="17">
        <f>($B$1/1000)*((AO5+1)/1.01325)*(273.15/(273.15+A24))</f>
        <v>4.751063282678639</v>
      </c>
      <c r="AP24" s="17">
        <f>($B$1/1000)*((AP5+1)/1.01325)*(273.15/(273.15+A24))</f>
        <v>4.8722638766245225</v>
      </c>
      <c r="AQ24" s="17">
        <f>($B$1/1000)*((AQ5+1)/1.01325)*(273.15/(273.15+A24))</f>
        <v>4.9934644705704061</v>
      </c>
      <c r="AR24" s="17">
        <f>($B$1/1000)*((AR5+1)/1.01325)*(273.15/(273.15+A24))</f>
        <v>5.1146650645162897</v>
      </c>
      <c r="AS24" s="17">
        <f>($B$1/1000)*((AS5+1)/1.01325)*(273.15/(273.15+A24))</f>
        <v>5.2358656584621732</v>
      </c>
      <c r="AT24" s="17">
        <f>($B$1/1000)*((AT5+1)/1.01325)*(273.15/(273.15+A24))</f>
        <v>5.3570662524080568</v>
      </c>
      <c r="AU24" s="17">
        <f>($B$1/1000)*((AU5+1)/1.01325)*(273.15/(273.15+A24))</f>
        <v>5.4782668463539403</v>
      </c>
      <c r="AV24" s="17">
        <f>($B$1/1000)*((AV5+1)/1.01325)*(273.15/(273.15+A24))</f>
        <v>5.5994674402998239</v>
      </c>
      <c r="AW24" s="17">
        <f>($B$1/1000)*((AW5+1)/1.01325)*(273.15/(273.15+A24))</f>
        <v>5.7206680342457075</v>
      </c>
      <c r="AX24" s="17">
        <f>($B$1/1000)*((AX5+1)/1.01325)*(273.15/(273.15+A24))</f>
        <v>5.841868628191591</v>
      </c>
      <c r="AY24" s="17">
        <f>($B$1/1000)*((AY5+1)/1.01325)*(273.15/(273.15+A24))</f>
        <v>5.9630692221374746</v>
      </c>
      <c r="AZ24" s="17">
        <f>($B$1/1000)*((AZ5+1)/1.01325)*(273.15/(273.15+A24))</f>
        <v>6.084269816083359</v>
      </c>
      <c r="BA24" s="17">
        <f>($B$1/1000)*((BA5+1)/1.01325)*(273.15/(273.15+A24))</f>
        <v>6.2054704100292426</v>
      </c>
      <c r="BB24" s="17">
        <f>($B$1/1000)*((BB5+1)/1.01325)*(273.15/(273.15+A24))</f>
        <v>6.3266710039751271</v>
      </c>
      <c r="BC24" s="17">
        <f>($B$1/1000)*((BC5+1)/1.01325)*(273.15/(273.15+A24))</f>
        <v>6.4478715979210097</v>
      </c>
      <c r="BD24" s="17">
        <f>($B$1/1000)*((BD5+1)/1.01325)*(273.15/(273.15+A24))</f>
        <v>6.5690721918668924</v>
      </c>
      <c r="BE24" s="17">
        <f>($B$1/1000)*((BE5+1)/1.01325)*(273.15/(273.15+A24))</f>
        <v>6.6902727858127768</v>
      </c>
      <c r="BF24" s="17">
        <f>($B$1/1000)*((BF5+1)/1.01325)*(273.15/(273.15+A24))</f>
        <v>6.8114733797586604</v>
      </c>
      <c r="BG24" s="17">
        <f>($B$1/1000)*((BG5+1)/1.01325)*(273.15/(273.15+A24))</f>
        <v>6.932673973704544</v>
      </c>
      <c r="BH24" s="17">
        <f>($B$1/1000)*((BH5+1)/1.01325)*(273.15/(273.15+A24))</f>
        <v>7.0538745676504275</v>
      </c>
      <c r="BI24" s="17">
        <f>($B$1/1000)*((BI5+1)/1.01325)*(273.15/(273.15+A24))</f>
        <v>7.175075161596312</v>
      </c>
      <c r="BJ24" s="17">
        <f>($B$1/1000)*((BJ5+1)/1.01325)*(273.15/(273.15+A24))</f>
        <v>7.2962757555421947</v>
      </c>
    </row>
    <row r="25" spans="1:62" ht="18.75">
      <c r="A25" s="2">
        <v>18</v>
      </c>
      <c r="B25" s="17">
        <f>($B$1/1000)*((B5+1)/1.01325)*(273.15/(273.15+A25))</f>
        <v>2.4073605866015632E-2</v>
      </c>
      <c r="C25" s="17">
        <f>($B$1/1000)*((C5+1)/1.01325)*(273.15/(273.15+A25))</f>
        <v>0.14444163519609379</v>
      </c>
      <c r="D25" s="17">
        <f>($B$1/1000)*((D5+1)/1.01325)*(273.15/(273.15+A25))</f>
        <v>0.26480966452617194</v>
      </c>
      <c r="E25" s="17">
        <f>($B$1/1000)*((E5+1)/1.01325)*(273.15/(273.15+A25))</f>
        <v>0.38517769385625011</v>
      </c>
      <c r="F25" s="17">
        <f>($B$1/1000)*((F5+1)/1.01325)*(273.15/(273.15+A25))</f>
        <v>0.50554572318632818</v>
      </c>
      <c r="G25" s="17">
        <f>($B$1/1000)*((G5+1)/1.01325)*(273.15/(273.15+A25))</f>
        <v>0.62591375251640646</v>
      </c>
      <c r="H25" s="17">
        <f>($B$1/1000)*((H5+1)/1.01325)*(273.15/(273.15+A25))</f>
        <v>0.74628178184648464</v>
      </c>
      <c r="I25" s="17">
        <f>($B$1/1000)*((I5+1)/1.01325)*(273.15/(273.15+A25))</f>
        <v>0.86664981117656281</v>
      </c>
      <c r="J25" s="17">
        <f>($B$1/1000)*((J5+1)/1.01325)*(273.15/(273.15+A25))</f>
        <v>0.98701784050664076</v>
      </c>
      <c r="K25" s="17">
        <f>($B$1/1000)*((K5+1)/1.01325)*(273.15/(273.15+A25))</f>
        <v>1.1073858698367192</v>
      </c>
      <c r="L25" s="17">
        <f>($B$1/1000)*((L5+1)/1.01325)*(273.15/(273.15+A25))</f>
        <v>1.2277538991667973</v>
      </c>
      <c r="M25" s="17">
        <f>($B$1/1000)*((M5+1)/1.01325)*(273.15/(273.15+A25))</f>
        <v>1.3481219284968753</v>
      </c>
      <c r="N25" s="17">
        <f>($B$1/1000)*((N5+1)/1.01325)*(273.15/(273.15+A25))</f>
        <v>1.4684899578269537</v>
      </c>
      <c r="O25" s="17">
        <f>($B$1/1000)*((O5+1)/1.01325)*(273.15/(273.15+A25))</f>
        <v>1.5888579871570316</v>
      </c>
      <c r="P25" s="17">
        <f>($B$1/1000)*((P5+1)/1.01325)*(273.15/(273.15+A25))</f>
        <v>1.7092260164871098</v>
      </c>
      <c r="Q25" s="17">
        <f>($B$1/1000)*((Q5+1)/1.01325)*(273.15/(273.15+A25))</f>
        <v>1.829594045817188</v>
      </c>
      <c r="R25" s="17">
        <f>($B$1/1000)*((R5+1)/1.01325)*(273.15/(273.15+A25))</f>
        <v>1.9499620751472662</v>
      </c>
      <c r="S25" s="17">
        <f>($B$1/1000)*((S5+1)/1.01325)*(273.15/(273.15+A25))</f>
        <v>2.0703301044773439</v>
      </c>
      <c r="T25" s="17">
        <f>($B$1/1000)*((T5+1)/1.01325)*(273.15/(273.15+A25))</f>
        <v>2.1906981338074227</v>
      </c>
      <c r="U25" s="17">
        <f>($B$1/1000)*((U5+1)/1.01325)*(273.15/(273.15+A25))</f>
        <v>2.3110661631375007</v>
      </c>
      <c r="V25" s="17">
        <f>($B$1/1000)*((V5+1)/1.01325)*(273.15/(273.15+A25))</f>
        <v>2.4314341924675786</v>
      </c>
      <c r="W25" s="17">
        <f>($B$1/1000)*((W5+1)/1.01325)*(273.15/(273.15+A25))</f>
        <v>2.551802221797657</v>
      </c>
      <c r="X25" s="17">
        <f>($B$1/1000)*((X5+1)/1.01325)*(273.15/(273.15+A25))</f>
        <v>2.672170251127735</v>
      </c>
      <c r="Y25" s="17">
        <f>($B$1/1000)*((Y5+1)/1.01325)*(273.15/(273.15+A25))</f>
        <v>2.7925382804578134</v>
      </c>
      <c r="Z25" s="17">
        <f>($B$1/1000)*((Z5+1)/1.01325)*(273.15/(273.15+A25))</f>
        <v>2.9129063097878913</v>
      </c>
      <c r="AA25" s="17">
        <f>($B$1/1000)*((AA5+1)/1.01325)*(273.15/(273.15+A25))</f>
        <v>3.0332743391179697</v>
      </c>
      <c r="AB25" s="17">
        <f>($B$1/1000)*((AB5+1)/1.01325)*(273.15/(273.15+A25))</f>
        <v>3.1536423684480472</v>
      </c>
      <c r="AC25" s="17">
        <f>($B$1/1000)*((AC5+1)/1.01325)*(273.15/(273.15+A25))</f>
        <v>3.2740103977781256</v>
      </c>
      <c r="AD25" s="17">
        <f>($B$1/1000)*((AD5+1)/1.01325)*(273.15/(273.15+A25))</f>
        <v>3.394378427108204</v>
      </c>
      <c r="AE25" s="17">
        <f>($B$1/1000)*((AE5+1)/1.01325)*(273.15/(273.15+A25))</f>
        <v>3.5147464564382824</v>
      </c>
      <c r="AF25" s="17">
        <f>($B$1/1000)*((AF5+1)/1.01325)*(273.15/(273.15+A25))</f>
        <v>3.6351144857683604</v>
      </c>
      <c r="AG25" s="17">
        <f>($B$1/1000)*((AG5+1)/1.01325)*(273.15/(273.15+A25))</f>
        <v>3.7554825150984383</v>
      </c>
      <c r="AH25" s="17">
        <f>($B$1/1000)*((AH5+1)/1.01325)*(273.15/(273.15+A25))</f>
        <v>3.8758505444285167</v>
      </c>
      <c r="AI25" s="17">
        <f>($B$1/1000)*((AI5+1)/1.01325)*(273.15/(273.15+A25))</f>
        <v>3.9962185737585947</v>
      </c>
      <c r="AJ25" s="17">
        <f>($B$1/1000)*((AJ5+1)/1.01325)*(273.15/(273.15+A25))</f>
        <v>4.1165866030886731</v>
      </c>
      <c r="AK25" s="17">
        <f>($B$1/1000)*((AK5+1)/1.01325)*(273.15/(273.15+A25))</f>
        <v>4.236954632418751</v>
      </c>
      <c r="AL25" s="17">
        <f>($B$1/1000)*((AL5+1)/1.01325)*(273.15/(273.15+A25))</f>
        <v>4.357322661748829</v>
      </c>
      <c r="AM25" s="17">
        <f>($B$1/1000)*((AM5+1)/1.01325)*(273.15/(273.15+A25))</f>
        <v>4.4776906910789078</v>
      </c>
      <c r="AN25" s="17">
        <f>($B$1/1000)*((AN5+1)/1.01325)*(273.15/(273.15+A25))</f>
        <v>4.5980587204089858</v>
      </c>
      <c r="AO25" s="17">
        <f>($B$1/1000)*((AO5+1)/1.01325)*(273.15/(273.15+A25))</f>
        <v>4.7184267497390637</v>
      </c>
      <c r="AP25" s="17">
        <f>($B$1/1000)*((AP5+1)/1.01325)*(273.15/(273.15+A25))</f>
        <v>4.8387947790691417</v>
      </c>
      <c r="AQ25" s="17">
        <f>($B$1/1000)*((AQ5+1)/1.01325)*(273.15/(273.15+A25))</f>
        <v>4.9591628083992196</v>
      </c>
      <c r="AR25" s="17">
        <f>($B$1/1000)*((AR5+1)/1.01325)*(273.15/(273.15+A25))</f>
        <v>5.0795308377292985</v>
      </c>
      <c r="AS25" s="17">
        <f>($B$1/1000)*((AS5+1)/1.01325)*(273.15/(273.15+A25))</f>
        <v>5.1998988670593764</v>
      </c>
      <c r="AT25" s="17">
        <f>($B$1/1000)*((AT5+1)/1.01325)*(273.15/(273.15+A25))</f>
        <v>5.3202668963894544</v>
      </c>
      <c r="AU25" s="17">
        <f>($B$1/1000)*((AU5+1)/1.01325)*(273.15/(273.15+A25))</f>
        <v>5.4406349257195323</v>
      </c>
      <c r="AV25" s="17">
        <f>($B$1/1000)*((AV5+1)/1.01325)*(273.15/(273.15+A25))</f>
        <v>5.5610029550496112</v>
      </c>
      <c r="AW25" s="17">
        <f>($B$1/1000)*((AW5+1)/1.01325)*(273.15/(273.15+A25))</f>
        <v>5.6813709843796891</v>
      </c>
      <c r="AX25" s="17">
        <f>($B$1/1000)*((AX5+1)/1.01325)*(273.15/(273.15+A25))</f>
        <v>5.8017390137097671</v>
      </c>
      <c r="AY25" s="17">
        <f>($B$1/1000)*((AY5+1)/1.01325)*(273.15/(273.15+A25))</f>
        <v>5.922107043039845</v>
      </c>
      <c r="AZ25" s="17">
        <f>($B$1/1000)*((AZ5+1)/1.01325)*(273.15/(273.15+A25))</f>
        <v>6.0424750723699239</v>
      </c>
      <c r="BA25" s="17">
        <f>($B$1/1000)*((BA5+1)/1.01325)*(273.15/(273.15+A25))</f>
        <v>6.1628431017000018</v>
      </c>
      <c r="BB25" s="17">
        <f>($B$1/1000)*((BB5+1)/1.01325)*(273.15/(273.15+A25))</f>
        <v>6.2832111310300807</v>
      </c>
      <c r="BC25" s="17">
        <f>($B$1/1000)*((BC5+1)/1.01325)*(273.15/(273.15+A25))</f>
        <v>6.4035791603601577</v>
      </c>
      <c r="BD25" s="17">
        <f>($B$1/1000)*((BD5+1)/1.01325)*(273.15/(273.15+A25))</f>
        <v>6.5239471896902348</v>
      </c>
      <c r="BE25" s="17">
        <f>($B$1/1000)*((BE5+1)/1.01325)*(273.15/(273.15+A25))</f>
        <v>6.6443152190203145</v>
      </c>
      <c r="BF25" s="17">
        <f>($B$1/1000)*((BF5+1)/1.01325)*(273.15/(273.15+A25))</f>
        <v>6.7646832483503925</v>
      </c>
      <c r="BG25" s="17">
        <f>($B$1/1000)*((BG5+1)/1.01325)*(273.15/(273.15+A25))</f>
        <v>6.8850512776804704</v>
      </c>
      <c r="BH25" s="17">
        <f>($B$1/1000)*((BH5+1)/1.01325)*(273.15/(273.15+A25))</f>
        <v>7.0054193070105484</v>
      </c>
      <c r="BI25" s="17">
        <f>($B$1/1000)*((BI5+1)/1.01325)*(273.15/(273.15+A25))</f>
        <v>7.1257873363406272</v>
      </c>
      <c r="BJ25" s="17">
        <f>($B$1/1000)*((BJ5+1)/1.01325)*(273.15/(273.15+A25))</f>
        <v>7.2461553656707052</v>
      </c>
    </row>
    <row r="26" spans="1:62" ht="18.75">
      <c r="A26" s="2">
        <v>20</v>
      </c>
      <c r="B26" s="17">
        <f>($B$1/1000)*((B5+1)/1.01325)*(273.15/(273.15+A26))</f>
        <v>2.3909364993656666E-2</v>
      </c>
      <c r="C26" s="17">
        <f>($B$1/1000)*((C5+1)/1.01325)*(273.15/(273.15+A26))</f>
        <v>0.14345618996193998</v>
      </c>
      <c r="D26" s="17">
        <f>($B$1/1000)*((D5+1)/1.01325)*(273.15/(273.15+A26))</f>
        <v>0.26300301493022332</v>
      </c>
      <c r="E26" s="17">
        <f>($B$1/1000)*((E5+1)/1.01325)*(273.15/(273.15+A26))</f>
        <v>0.38254983989850666</v>
      </c>
      <c r="F26" s="17">
        <f>($B$1/1000)*((F5+1)/1.01325)*(273.15/(273.15+A26))</f>
        <v>0.50209666486678994</v>
      </c>
      <c r="G26" s="17">
        <f>($B$1/1000)*((G5+1)/1.01325)*(273.15/(273.15+A26))</f>
        <v>0.62164348983507334</v>
      </c>
      <c r="H26" s="17">
        <f>($B$1/1000)*((H5+1)/1.01325)*(273.15/(273.15+A26))</f>
        <v>0.74119031480335662</v>
      </c>
      <c r="I26" s="17">
        <f>($B$1/1000)*((I5+1)/1.01325)*(273.15/(273.15+A26))</f>
        <v>0.86073713977164001</v>
      </c>
      <c r="J26" s="17">
        <f>($B$1/1000)*((J5+1)/1.01325)*(273.15/(273.15+A26))</f>
        <v>0.98028396473992319</v>
      </c>
      <c r="K26" s="17">
        <f>($B$1/1000)*((K5+1)/1.01325)*(273.15/(273.15+A26))</f>
        <v>1.0998307897082067</v>
      </c>
      <c r="L26" s="17">
        <f>($B$1/1000)*((L5+1)/1.01325)*(273.15/(273.15+A26))</f>
        <v>1.2193776146764901</v>
      </c>
      <c r="M26" s="17">
        <f>($B$1/1000)*((M5+1)/1.01325)*(273.15/(273.15+A26))</f>
        <v>1.3389244396447733</v>
      </c>
      <c r="N26" s="17">
        <f>($B$1/1000)*((N5+1)/1.01325)*(273.15/(273.15+A26))</f>
        <v>1.4584712646130567</v>
      </c>
      <c r="O26" s="17">
        <f>($B$1/1000)*((O5+1)/1.01325)*(273.15/(273.15+A26))</f>
        <v>1.5780180895813398</v>
      </c>
      <c r="P26" s="17">
        <f>($B$1/1000)*((P5+1)/1.01325)*(273.15/(273.15+A26))</f>
        <v>1.6975649145496232</v>
      </c>
      <c r="Q26" s="17">
        <f>($B$1/1000)*((Q5+1)/1.01325)*(273.15/(273.15+A26))</f>
        <v>1.8171117395179066</v>
      </c>
      <c r="R26" s="17">
        <f>($B$1/1000)*((R5+1)/1.01325)*(273.15/(273.15+A26))</f>
        <v>1.93665856448619</v>
      </c>
      <c r="S26" s="17">
        <f>($B$1/1000)*((S5+1)/1.01325)*(273.15/(273.15+A26))</f>
        <v>2.056205389454473</v>
      </c>
      <c r="T26" s="17">
        <f>($B$1/1000)*((T5+1)/1.01325)*(273.15/(273.15+A26))</f>
        <v>2.1757522144227566</v>
      </c>
      <c r="U26" s="17">
        <f>($B$1/1000)*((U5+1)/1.01325)*(273.15/(273.15+A26))</f>
        <v>2.2952990393910397</v>
      </c>
      <c r="V26" s="17">
        <f>($B$1/1000)*((V5+1)/1.01325)*(273.15/(273.15+A26))</f>
        <v>2.4148458643593234</v>
      </c>
      <c r="W26" s="17">
        <f>($B$1/1000)*((W5+1)/1.01325)*(273.15/(273.15+A26))</f>
        <v>2.5343926893276065</v>
      </c>
      <c r="X26" s="17">
        <f>($B$1/1000)*((X5+1)/1.01325)*(273.15/(273.15+A26))</f>
        <v>2.6539395142958897</v>
      </c>
      <c r="Y26" s="17">
        <f>($B$1/1000)*((Y5+1)/1.01325)*(273.15/(273.15+A26))</f>
        <v>2.7734863392641733</v>
      </c>
      <c r="Z26" s="17">
        <f>($B$1/1000)*((Z5+1)/1.01325)*(273.15/(273.15+A26))</f>
        <v>2.8930331642324565</v>
      </c>
      <c r="AA26" s="17">
        <f>($B$1/1000)*((AA5+1)/1.01325)*(273.15/(273.15+A26))</f>
        <v>3.0125799892007397</v>
      </c>
      <c r="AB26" s="17">
        <f>($B$1/1000)*((AB5+1)/1.01325)*(273.15/(273.15+A26))</f>
        <v>3.1321268141690228</v>
      </c>
      <c r="AC26" s="17">
        <f>($B$1/1000)*((AC5+1)/1.01325)*(273.15/(273.15+A26))</f>
        <v>3.251673639137306</v>
      </c>
      <c r="AD26" s="17">
        <f>($B$1/1000)*((AD5+1)/1.01325)*(273.15/(273.15+A26))</f>
        <v>3.3712204641055896</v>
      </c>
      <c r="AE26" s="17">
        <f>($B$1/1000)*((AE5+1)/1.01325)*(273.15/(273.15+A26))</f>
        <v>3.4907672890738732</v>
      </c>
      <c r="AF26" s="17">
        <f>($B$1/1000)*((AF5+1)/1.01325)*(273.15/(273.15+A26))</f>
        <v>3.6103141140421564</v>
      </c>
      <c r="AG26" s="17">
        <f>($B$1/1000)*((AG5+1)/1.01325)*(273.15/(273.15+A26))</f>
        <v>3.7298609390104396</v>
      </c>
      <c r="AH26" s="17">
        <f>($B$1/1000)*((AH5+1)/1.01325)*(273.15/(273.15+A26))</f>
        <v>3.8494077639787232</v>
      </c>
      <c r="AI26" s="17">
        <f>($B$1/1000)*((AI5+1)/1.01325)*(273.15/(273.15+A26))</f>
        <v>3.9689545889470064</v>
      </c>
      <c r="AJ26" s="17">
        <f>($B$1/1000)*((AJ5+1)/1.01325)*(273.15/(273.15+A26))</f>
        <v>4.0885014139152895</v>
      </c>
      <c r="AK26" s="17">
        <f>($B$1/1000)*((AK5+1)/1.01325)*(273.15/(273.15+A26))</f>
        <v>4.2080482388835732</v>
      </c>
      <c r="AL26" s="17">
        <f>($B$1/1000)*((AL5+1)/1.01325)*(273.15/(273.15+A26))</f>
        <v>4.3275950638518568</v>
      </c>
      <c r="AM26" s="17">
        <f>($B$1/1000)*((AM5+1)/1.01325)*(273.15/(273.15+A26))</f>
        <v>4.4471418888201395</v>
      </c>
      <c r="AN26" s="17">
        <f>($B$1/1000)*((AN5+1)/1.01325)*(273.15/(273.15+A26))</f>
        <v>4.5666887137884231</v>
      </c>
      <c r="AO26" s="17">
        <f>($B$1/1000)*((AO5+1)/1.01325)*(273.15/(273.15+A26))</f>
        <v>4.6862355387567067</v>
      </c>
      <c r="AP26" s="17">
        <f>($B$1/1000)*((AP5+1)/1.01325)*(273.15/(273.15+A26))</f>
        <v>4.8057823637249895</v>
      </c>
      <c r="AQ26" s="17">
        <f>($B$1/1000)*((AQ5+1)/1.01325)*(273.15/(273.15+A26))</f>
        <v>4.9253291886932731</v>
      </c>
      <c r="AR26" s="17">
        <f>($B$1/1000)*((AR5+1)/1.01325)*(273.15/(273.15+A26))</f>
        <v>5.0448760136615567</v>
      </c>
      <c r="AS26" s="17">
        <f>($B$1/1000)*((AS5+1)/1.01325)*(273.15/(273.15+A26))</f>
        <v>5.1644228386298394</v>
      </c>
      <c r="AT26" s="17">
        <f>($B$1/1000)*((AT5+1)/1.01325)*(273.15/(273.15+A26))</f>
        <v>5.283969663598123</v>
      </c>
      <c r="AU26" s="17">
        <f>($B$1/1000)*((AU5+1)/1.01325)*(273.15/(273.15+A26))</f>
        <v>5.4035164885664067</v>
      </c>
      <c r="AV26" s="17">
        <f>($B$1/1000)*((AV5+1)/1.01325)*(273.15/(273.15+A26))</f>
        <v>5.5230633135346894</v>
      </c>
      <c r="AW26" s="17">
        <f>($B$1/1000)*((AW5+1)/1.01325)*(273.15/(273.15+A26))</f>
        <v>5.642610138502973</v>
      </c>
      <c r="AX26" s="17">
        <f>($B$1/1000)*((AX5+1)/1.01325)*(273.15/(273.15+A26))</f>
        <v>5.7621569634712566</v>
      </c>
      <c r="AY26" s="17">
        <f>($B$1/1000)*((AY5+1)/1.01325)*(273.15/(273.15+A26))</f>
        <v>5.8817037884395393</v>
      </c>
      <c r="AZ26" s="17">
        <f>($B$1/1000)*((AZ5+1)/1.01325)*(273.15/(273.15+A26))</f>
        <v>6.001250613407823</v>
      </c>
      <c r="BA26" s="17">
        <f>($B$1/1000)*((BA5+1)/1.01325)*(273.15/(273.15+A26))</f>
        <v>6.1207974383761066</v>
      </c>
      <c r="BB26" s="17">
        <f>($B$1/1000)*((BB5+1)/1.01325)*(273.15/(273.15+A26))</f>
        <v>6.2403442633443902</v>
      </c>
      <c r="BC26" s="17">
        <f>($B$1/1000)*((BC5+1)/1.01325)*(273.15/(273.15+A26))</f>
        <v>6.3598910883126729</v>
      </c>
      <c r="BD26" s="17">
        <f>($B$1/1000)*((BD5+1)/1.01325)*(273.15/(273.15+A26))</f>
        <v>6.4794379132809556</v>
      </c>
      <c r="BE26" s="17">
        <f>($B$1/1000)*((BE5+1)/1.01325)*(273.15/(273.15+A26))</f>
        <v>6.5989847382492393</v>
      </c>
      <c r="BF26" s="17">
        <f>($B$1/1000)*((BF5+1)/1.01325)*(273.15/(273.15+A26))</f>
        <v>6.7185315632175229</v>
      </c>
      <c r="BG26" s="17">
        <f>($B$1/1000)*((BG5+1)/1.01325)*(273.15/(273.15+A26))</f>
        <v>6.8380783881858065</v>
      </c>
      <c r="BH26" s="17">
        <f>($B$1/1000)*((BH5+1)/1.01325)*(273.15/(273.15+A26))</f>
        <v>6.9576252131540892</v>
      </c>
      <c r="BI26" s="17">
        <f>($B$1/1000)*((BI5+1)/1.01325)*(273.15/(273.15+A26))</f>
        <v>7.0771720381223737</v>
      </c>
      <c r="BJ26" s="17">
        <f>($B$1/1000)*((BJ5+1)/1.01325)*(273.15/(273.15+A26))</f>
        <v>7.1967188630906564</v>
      </c>
    </row>
    <row r="27" spans="1:62" ht="18.75">
      <c r="A27" s="2">
        <v>22</v>
      </c>
      <c r="B27" s="17">
        <f>($B$1/1000)*((B5+1)/1.01325)*(273.15/(273.15+A27))</f>
        <v>2.3747349984382351E-2</v>
      </c>
      <c r="C27" s="17">
        <f>($B$1/1000)*((C5+1)/1.01325)*(273.15/(273.15+A27))</f>
        <v>0.14248409990629413</v>
      </c>
      <c r="D27" s="17">
        <f>($B$1/1000)*((D5+1)/1.01325)*(273.15/(273.15+A27))</f>
        <v>0.26122084982820587</v>
      </c>
      <c r="E27" s="17">
        <f>($B$1/1000)*((E5+1)/1.01325)*(273.15/(273.15+A27))</f>
        <v>0.37995759975011761</v>
      </c>
      <c r="F27" s="17">
        <f>($B$1/1000)*((F5+1)/1.01325)*(273.15/(273.15+A27))</f>
        <v>0.49869434967202936</v>
      </c>
      <c r="G27" s="17">
        <f>($B$1/1000)*((G5+1)/1.01325)*(273.15/(273.15+A27))</f>
        <v>0.61743109959394116</v>
      </c>
      <c r="H27" s="17">
        <f>($B$1/1000)*((H5+1)/1.01325)*(273.15/(273.15+A27))</f>
        <v>0.7361678495158529</v>
      </c>
      <c r="I27" s="17">
        <f>($B$1/1000)*((I5+1)/1.01325)*(273.15/(273.15+A27))</f>
        <v>0.85490459943776476</v>
      </c>
      <c r="J27" s="17">
        <f>($B$1/1000)*((J5+1)/1.01325)*(273.15/(273.15+A27))</f>
        <v>0.97364134935967639</v>
      </c>
      <c r="K27" s="17">
        <f>($B$1/1000)*((K5+1)/1.01325)*(273.15/(273.15+A27))</f>
        <v>1.0923780992815884</v>
      </c>
      <c r="L27" s="17">
        <f>($B$1/1000)*((L5+1)/1.01325)*(273.15/(273.15+A27))</f>
        <v>1.2111148492035</v>
      </c>
      <c r="M27" s="17">
        <f>($B$1/1000)*((M5+1)/1.01325)*(273.15/(273.15+A27))</f>
        <v>1.3298515991254116</v>
      </c>
      <c r="N27" s="17">
        <f>($B$1/1000)*((N5+1)/1.01325)*(273.15/(273.15+A27))</f>
        <v>1.4485883490473237</v>
      </c>
      <c r="O27" s="17">
        <f>($B$1/1000)*((O5+1)/1.01325)*(273.15/(273.15+A27))</f>
        <v>1.5673250989692351</v>
      </c>
      <c r="P27" s="17">
        <f>($B$1/1000)*((P5+1)/1.01325)*(273.15/(273.15+A27))</f>
        <v>1.686061848891147</v>
      </c>
      <c r="Q27" s="17">
        <f>($B$1/1000)*((Q5+1)/1.01325)*(273.15/(273.15+A27))</f>
        <v>1.8047985988130588</v>
      </c>
      <c r="R27" s="17">
        <f>($B$1/1000)*((R5+1)/1.01325)*(273.15/(273.15+A27))</f>
        <v>1.9235353487349707</v>
      </c>
      <c r="S27" s="17">
        <f>($B$1/1000)*((S5+1)/1.01325)*(273.15/(273.15+A27))</f>
        <v>2.0422720986568819</v>
      </c>
      <c r="T27" s="17">
        <f>($B$1/1000)*((T5+1)/1.01325)*(273.15/(273.15+A27))</f>
        <v>2.1610088485787942</v>
      </c>
      <c r="U27" s="17">
        <f>($B$1/1000)*((U5+1)/1.01325)*(273.15/(273.15+A27))</f>
        <v>2.279745598500706</v>
      </c>
      <c r="V27" s="17">
        <f>($B$1/1000)*((V5+1)/1.01325)*(273.15/(273.15+A27))</f>
        <v>2.3984823484226174</v>
      </c>
      <c r="W27" s="17">
        <f>($B$1/1000)*((W5+1)/1.01325)*(273.15/(273.15+A27))</f>
        <v>2.5172190983445293</v>
      </c>
      <c r="X27" s="17">
        <f>($B$1/1000)*((X5+1)/1.01325)*(273.15/(273.15+A27))</f>
        <v>2.6359558482664411</v>
      </c>
      <c r="Y27" s="17">
        <f>($B$1/1000)*((Y5+1)/1.01325)*(273.15/(273.15+A27))</f>
        <v>2.754692598188353</v>
      </c>
      <c r="Z27" s="17">
        <f>($B$1/1000)*((Z5+1)/1.01325)*(273.15/(273.15+A27))</f>
        <v>2.8734293481102648</v>
      </c>
      <c r="AA27" s="17">
        <f>($B$1/1000)*((AA5+1)/1.01325)*(273.15/(273.15+A27))</f>
        <v>2.9921660980321763</v>
      </c>
      <c r="AB27" s="17">
        <f>($B$1/1000)*((AB5+1)/1.01325)*(273.15/(273.15+A27))</f>
        <v>3.1109028479540877</v>
      </c>
      <c r="AC27" s="17">
        <f>($B$1/1000)*((AC5+1)/1.01325)*(273.15/(273.15+A27))</f>
        <v>3.2296395978759995</v>
      </c>
      <c r="AD27" s="17">
        <f>($B$1/1000)*((AD5+1)/1.01325)*(273.15/(273.15+A27))</f>
        <v>3.3483763477979118</v>
      </c>
      <c r="AE27" s="17">
        <f>($B$1/1000)*((AE5+1)/1.01325)*(273.15/(273.15+A27))</f>
        <v>3.4671130977198232</v>
      </c>
      <c r="AF27" s="17">
        <f>($B$1/1000)*((AF5+1)/1.01325)*(273.15/(273.15+A27))</f>
        <v>3.5858498476417351</v>
      </c>
      <c r="AG27" s="17">
        <f>($B$1/1000)*((AG5+1)/1.01325)*(273.15/(273.15+A27))</f>
        <v>3.7045865975636469</v>
      </c>
      <c r="AH27" s="17">
        <f>($B$1/1000)*((AH5+1)/1.01325)*(273.15/(273.15+A27))</f>
        <v>3.8233233474855588</v>
      </c>
      <c r="AI27" s="17">
        <f>($B$1/1000)*((AI5+1)/1.01325)*(273.15/(273.15+A27))</f>
        <v>3.9420600974074707</v>
      </c>
      <c r="AJ27" s="17">
        <f>($B$1/1000)*((AJ5+1)/1.01325)*(273.15/(273.15+A27))</f>
        <v>4.0607968473293825</v>
      </c>
      <c r="AK27" s="17">
        <f>($B$1/1000)*((AK5+1)/1.01325)*(273.15/(273.15+A27))</f>
        <v>4.1795335972512939</v>
      </c>
      <c r="AL27" s="17">
        <f>($B$1/1000)*((AL5+1)/1.01325)*(273.15/(273.15+A27))</f>
        <v>4.2982703471732053</v>
      </c>
      <c r="AM27" s="17">
        <f>($B$1/1000)*((AM5+1)/1.01325)*(273.15/(273.15+A27))</f>
        <v>4.4170070970951176</v>
      </c>
      <c r="AN27" s="17">
        <f>($B$1/1000)*((AN5+1)/1.01325)*(273.15/(273.15+A27))</f>
        <v>4.535743847017029</v>
      </c>
      <c r="AO27" s="17">
        <f>($B$1/1000)*((AO5+1)/1.01325)*(273.15/(273.15+A27))</f>
        <v>4.6544805969389413</v>
      </c>
      <c r="AP27" s="17">
        <f>($B$1/1000)*((AP5+1)/1.01325)*(273.15/(273.15+A27))</f>
        <v>4.7732173468608528</v>
      </c>
      <c r="AQ27" s="17">
        <f>($B$1/1000)*((AQ5+1)/1.01325)*(273.15/(273.15+A27))</f>
        <v>4.8919540967827642</v>
      </c>
      <c r="AR27" s="17">
        <f>($B$1/1000)*((AR5+1)/1.01325)*(273.15/(273.15+A27))</f>
        <v>5.0106908467046765</v>
      </c>
      <c r="AS27" s="17">
        <f>($B$1/1000)*((AS5+1)/1.01325)*(273.15/(273.15+A27))</f>
        <v>5.1294275966265879</v>
      </c>
      <c r="AT27" s="17">
        <f>($B$1/1000)*((AT5+1)/1.01325)*(273.15/(273.15+A27))</f>
        <v>5.2481643465485002</v>
      </c>
      <c r="AU27" s="17">
        <f>($B$1/1000)*((AU5+1)/1.01325)*(273.15/(273.15+A27))</f>
        <v>5.3669010964704116</v>
      </c>
      <c r="AV27" s="17">
        <f>($B$1/1000)*((AV5+1)/1.01325)*(273.15/(273.15+A27))</f>
        <v>5.485637846392323</v>
      </c>
      <c r="AW27" s="17">
        <f>($B$1/1000)*((AW5+1)/1.01325)*(273.15/(273.15+A27))</f>
        <v>5.6043745963142353</v>
      </c>
      <c r="AX27" s="17">
        <f>($B$1/1000)*((AX5+1)/1.01325)*(273.15/(273.15+A27))</f>
        <v>5.7231113462361467</v>
      </c>
      <c r="AY27" s="17">
        <f>($B$1/1000)*((AY5+1)/1.01325)*(273.15/(273.15+A27))</f>
        <v>5.841848096158059</v>
      </c>
      <c r="AZ27" s="17">
        <f>($B$1/1000)*((AZ5+1)/1.01325)*(273.15/(273.15+A27))</f>
        <v>5.9605848460799704</v>
      </c>
      <c r="BA27" s="17">
        <f>($B$1/1000)*((BA5+1)/1.01325)*(273.15/(273.15+A27))</f>
        <v>6.0793215960018818</v>
      </c>
      <c r="BB27" s="17">
        <f>($B$1/1000)*((BB5+1)/1.01325)*(273.15/(273.15+A27))</f>
        <v>6.198058345923795</v>
      </c>
      <c r="BC27" s="17">
        <f>($B$1/1000)*((BC5+1)/1.01325)*(273.15/(273.15+A27))</f>
        <v>6.3167950958457055</v>
      </c>
      <c r="BD27" s="17">
        <f>($B$1/1000)*((BD5+1)/1.01325)*(273.15/(273.15+A27))</f>
        <v>6.4355318457676169</v>
      </c>
      <c r="BE27" s="17">
        <f>($B$1/1000)*((BE5+1)/1.01325)*(273.15/(273.15+A27))</f>
        <v>6.5542685956895292</v>
      </c>
      <c r="BF27" s="17">
        <f>($B$1/1000)*((BF5+1)/1.01325)*(273.15/(273.15+A27))</f>
        <v>6.6730053456114407</v>
      </c>
      <c r="BG27" s="17">
        <f>($B$1/1000)*((BG5+1)/1.01325)*(273.15/(273.15+A27))</f>
        <v>6.791742095533353</v>
      </c>
      <c r="BH27" s="17">
        <f>($B$1/1000)*((BH5+1)/1.01325)*(273.15/(273.15+A27))</f>
        <v>6.9104788454552644</v>
      </c>
      <c r="BI27" s="17">
        <f>($B$1/1000)*((BI5+1)/1.01325)*(273.15/(273.15+A27))</f>
        <v>7.0292155953771767</v>
      </c>
      <c r="BJ27" s="17">
        <f>($B$1/1000)*((BJ5+1)/1.01325)*(273.15/(273.15+A27))</f>
        <v>7.1479523452990881</v>
      </c>
    </row>
    <row r="28" spans="1:62" ht="18.75">
      <c r="A28" s="2">
        <v>24</v>
      </c>
      <c r="B28" s="17">
        <f>($B$1/1000)*((B5+1)/1.01325)*(273.15/(273.15+A28))</f>
        <v>2.3587515893960798E-2</v>
      </c>
      <c r="C28" s="17">
        <f>($B$1/1000)*((C5+1)/1.01325)*(273.15/(273.15+A28))</f>
        <v>0.14152509536376481</v>
      </c>
      <c r="D28" s="17">
        <f>($B$1/1000)*((D5+1)/1.01325)*(273.15/(273.15+A28))</f>
        <v>0.25946267483356877</v>
      </c>
      <c r="E28" s="17">
        <f>($B$1/1000)*((E5+1)/1.01325)*(273.15/(273.15+A28))</f>
        <v>0.37740025430337276</v>
      </c>
      <c r="F28" s="17">
        <f>($B$1/1000)*((F5+1)/1.01325)*(273.15/(273.15+A28))</f>
        <v>0.49533783377317675</v>
      </c>
      <c r="G28" s="17">
        <f>($B$1/1000)*((G5+1)/1.01325)*(273.15/(273.15+A28))</f>
        <v>0.61327541324298085</v>
      </c>
      <c r="H28" s="17">
        <f>($B$1/1000)*((H5+1)/1.01325)*(273.15/(273.15+A28))</f>
        <v>0.73121299271278484</v>
      </c>
      <c r="I28" s="17">
        <f>($B$1/1000)*((I5+1)/1.01325)*(273.15/(273.15+A28))</f>
        <v>0.84915057218258883</v>
      </c>
      <c r="J28" s="17">
        <f>($B$1/1000)*((J5+1)/1.01325)*(273.15/(273.15+A28))</f>
        <v>0.9670881516523927</v>
      </c>
      <c r="K28" s="17">
        <f>($B$1/1000)*((K5+1)/1.01325)*(273.15/(273.15+A28))</f>
        <v>1.0850257311221969</v>
      </c>
      <c r="L28" s="17">
        <f>($B$1/1000)*((L5+1)/1.01325)*(273.15/(273.15+A28))</f>
        <v>1.2029633105920008</v>
      </c>
      <c r="M28" s="17">
        <f>($B$1/1000)*((M5+1)/1.01325)*(273.15/(273.15+A28))</f>
        <v>1.3209008900618047</v>
      </c>
      <c r="N28" s="17">
        <f>($B$1/1000)*((N5+1)/1.01325)*(273.15/(273.15+A28))</f>
        <v>1.4388384695316088</v>
      </c>
      <c r="O28" s="17">
        <f>($B$1/1000)*((O5+1)/1.01325)*(273.15/(273.15+A28))</f>
        <v>1.5567760490014126</v>
      </c>
      <c r="P28" s="17">
        <f>($B$1/1000)*((P5+1)/1.01325)*(273.15/(273.15+A28))</f>
        <v>1.6747136284712167</v>
      </c>
      <c r="Q28" s="17">
        <f>($B$1/1000)*((Q5+1)/1.01325)*(273.15/(273.15+A28))</f>
        <v>1.7926512079410208</v>
      </c>
      <c r="R28" s="17">
        <f>($B$1/1000)*((R5+1)/1.01325)*(273.15/(273.15+A28))</f>
        <v>1.9105887874108247</v>
      </c>
      <c r="S28" s="17">
        <f>($B$1/1000)*((S5+1)/1.01325)*(273.15/(273.15+A28))</f>
        <v>2.0285263668806284</v>
      </c>
      <c r="T28" s="17">
        <f>($B$1/1000)*((T5+1)/1.01325)*(273.15/(273.15+A28))</f>
        <v>2.1464639463504329</v>
      </c>
      <c r="U28" s="17">
        <f>($B$1/1000)*((U5+1)/1.01325)*(273.15/(273.15+A28))</f>
        <v>2.264401525820237</v>
      </c>
      <c r="V28" s="17">
        <f>($B$1/1000)*((V5+1)/1.01325)*(273.15/(273.15+A28))</f>
        <v>2.3823391052900407</v>
      </c>
      <c r="W28" s="17">
        <f>($B$1/1000)*((W5+1)/1.01325)*(273.15/(273.15+A28))</f>
        <v>2.5002766847598448</v>
      </c>
      <c r="X28" s="17">
        <f>($B$1/1000)*((X5+1)/1.01325)*(273.15/(273.15+A28))</f>
        <v>2.6182142642296489</v>
      </c>
      <c r="Y28" s="17">
        <f>($B$1/1000)*((Y5+1)/1.01325)*(273.15/(273.15+A28))</f>
        <v>2.736151843699453</v>
      </c>
      <c r="Z28" s="17">
        <f>($B$1/1000)*((Z5+1)/1.01325)*(273.15/(273.15+A28))</f>
        <v>2.8540894231692566</v>
      </c>
      <c r="AA28" s="17">
        <f>($B$1/1000)*((AA5+1)/1.01325)*(273.15/(273.15+A28))</f>
        <v>2.9720270026390607</v>
      </c>
      <c r="AB28" s="17">
        <f>($B$1/1000)*((AB5+1)/1.01325)*(273.15/(273.15+A28))</f>
        <v>3.0899645821088644</v>
      </c>
      <c r="AC28" s="17">
        <f>($B$1/1000)*((AC5+1)/1.01325)*(273.15/(273.15+A28))</f>
        <v>3.2079021615786685</v>
      </c>
      <c r="AD28" s="17">
        <f>($B$1/1000)*((AD5+1)/1.01325)*(273.15/(273.15+A28))</f>
        <v>3.3258397410484726</v>
      </c>
      <c r="AE28" s="17">
        <f>($B$1/1000)*((AE5+1)/1.01325)*(273.15/(273.15+A28))</f>
        <v>3.4437773205182767</v>
      </c>
      <c r="AF28" s="17">
        <f>($B$1/1000)*((AF5+1)/1.01325)*(273.15/(273.15+A28))</f>
        <v>3.5617148999880808</v>
      </c>
      <c r="AG28" s="17">
        <f>($B$1/1000)*((AG5+1)/1.01325)*(273.15/(273.15+A28))</f>
        <v>3.6796524794578849</v>
      </c>
      <c r="AH28" s="17">
        <f>($B$1/1000)*((AH5+1)/1.01325)*(273.15/(273.15+A28))</f>
        <v>3.7975900589276885</v>
      </c>
      <c r="AI28" s="17">
        <f>($B$1/1000)*((AI5+1)/1.01325)*(273.15/(273.15+A28))</f>
        <v>3.9155276383974926</v>
      </c>
      <c r="AJ28" s="17">
        <f>($B$1/1000)*((AJ5+1)/1.01325)*(273.15/(273.15+A28))</f>
        <v>4.0334652178672963</v>
      </c>
      <c r="AK28" s="17">
        <f>($B$1/1000)*((AK5+1)/1.01325)*(273.15/(273.15+A28))</f>
        <v>4.1514027973371004</v>
      </c>
      <c r="AL28" s="17">
        <f>($B$1/1000)*((AL5+1)/1.01325)*(273.15/(273.15+A28))</f>
        <v>4.2693403768069045</v>
      </c>
      <c r="AM28" s="17">
        <f>($B$1/1000)*((AM5+1)/1.01325)*(273.15/(273.15+A28))</f>
        <v>4.3872779562767086</v>
      </c>
      <c r="AN28" s="17">
        <f>($B$1/1000)*((AN5+1)/1.01325)*(273.15/(273.15+A28))</f>
        <v>4.5052155357465127</v>
      </c>
      <c r="AO28" s="17">
        <f>($B$1/1000)*((AO5+1)/1.01325)*(273.15/(273.15+A28))</f>
        <v>4.6231531152163168</v>
      </c>
      <c r="AP28" s="17">
        <f>($B$1/1000)*((AP5+1)/1.01325)*(273.15/(273.15+A28))</f>
        <v>4.7410906946861209</v>
      </c>
      <c r="AQ28" s="17">
        <f>($B$1/1000)*((AQ5+1)/1.01325)*(273.15/(273.15+A28))</f>
        <v>4.859028274155925</v>
      </c>
      <c r="AR28" s="17">
        <f>($B$1/1000)*((AR5+1)/1.01325)*(273.15/(273.15+A28))</f>
        <v>4.9769658536257282</v>
      </c>
      <c r="AS28" s="17">
        <f>($B$1/1000)*((AS5+1)/1.01325)*(273.15/(273.15+A28))</f>
        <v>5.0949034330955323</v>
      </c>
      <c r="AT28" s="17">
        <f>($B$1/1000)*((AT5+1)/1.01325)*(273.15/(273.15+A28))</f>
        <v>5.2128410125653364</v>
      </c>
      <c r="AU28" s="17">
        <f>($B$1/1000)*((AU5+1)/1.01325)*(273.15/(273.15+A28))</f>
        <v>5.3307785920351405</v>
      </c>
      <c r="AV28" s="17">
        <f>($B$1/1000)*((AV5+1)/1.01325)*(273.15/(273.15+A28))</f>
        <v>5.4487161715049446</v>
      </c>
      <c r="AW28" s="17">
        <f>($B$1/1000)*((AW5+1)/1.01325)*(273.15/(273.15+A28))</f>
        <v>5.5666537509747487</v>
      </c>
      <c r="AX28" s="17">
        <f>($B$1/1000)*((AX5+1)/1.01325)*(273.15/(273.15+A28))</f>
        <v>5.6845913304445528</v>
      </c>
      <c r="AY28" s="17">
        <f>($B$1/1000)*((AY5+1)/1.01325)*(273.15/(273.15+A28))</f>
        <v>5.8025289099143569</v>
      </c>
      <c r="AZ28" s="17">
        <f>($B$1/1000)*((AZ5+1)/1.01325)*(273.15/(273.15+A28))</f>
        <v>5.920466489384161</v>
      </c>
      <c r="BA28" s="17">
        <f>($B$1/1000)*((BA5+1)/1.01325)*(273.15/(273.15+A28))</f>
        <v>6.0384040688539642</v>
      </c>
      <c r="BB28" s="17">
        <f>($B$1/1000)*((BB5+1)/1.01325)*(273.15/(273.15+A28))</f>
        <v>6.1563416483237692</v>
      </c>
      <c r="BC28" s="17">
        <f>($B$1/1000)*((BC5+1)/1.01325)*(273.15/(273.15+A28))</f>
        <v>6.2742792277935724</v>
      </c>
      <c r="BD28" s="17">
        <f>($B$1/1000)*((BD5+1)/1.01325)*(273.15/(273.15+A28))</f>
        <v>6.3922168072633756</v>
      </c>
      <c r="BE28" s="17">
        <f>($B$1/1000)*((BE5+1)/1.01325)*(273.15/(273.15+A28))</f>
        <v>6.5101543867331806</v>
      </c>
      <c r="BF28" s="17">
        <f>($B$1/1000)*((BF5+1)/1.01325)*(273.15/(273.15+A28))</f>
        <v>6.6280919662029847</v>
      </c>
      <c r="BG28" s="17">
        <f>($B$1/1000)*((BG5+1)/1.01325)*(273.15/(273.15+A28))</f>
        <v>6.7460295456727888</v>
      </c>
      <c r="BH28" s="17">
        <f>($B$1/1000)*((BH5+1)/1.01325)*(273.15/(273.15+A28))</f>
        <v>6.8639671251425929</v>
      </c>
      <c r="BI28" s="17">
        <f>($B$1/1000)*((BI5+1)/1.01325)*(273.15/(273.15+A28))</f>
        <v>6.981904704612397</v>
      </c>
      <c r="BJ28" s="17">
        <f>($B$1/1000)*((BJ5+1)/1.01325)*(273.15/(273.15+A28))</f>
        <v>7.0998422840822002</v>
      </c>
    </row>
    <row r="29" spans="1:62" ht="18.75">
      <c r="A29" s="2">
        <v>26</v>
      </c>
      <c r="B29" s="17">
        <f>($B$1/1000)*((B5+1)/1.01325)*(273.15/(273.15+A29))</f>
        <v>2.3429818980078392E-2</v>
      </c>
      <c r="C29" s="17">
        <f>($B$1/1000)*((C5+1)/1.01325)*(273.15/(273.15+A29))</f>
        <v>0.14057891388047036</v>
      </c>
      <c r="D29" s="17">
        <f>($B$1/1000)*((D5+1)/1.01325)*(273.15/(273.15+A29))</f>
        <v>0.25772800878086233</v>
      </c>
      <c r="E29" s="17">
        <f>($B$1/1000)*((E5+1)/1.01325)*(273.15/(273.15+A29))</f>
        <v>0.37487710368125426</v>
      </c>
      <c r="F29" s="17">
        <f>($B$1/1000)*((F5+1)/1.01325)*(273.15/(273.15+A29))</f>
        <v>0.4920261985816462</v>
      </c>
      <c r="G29" s="17">
        <f>($B$1/1000)*((G5+1)/1.01325)*(273.15/(273.15+A29))</f>
        <v>0.60917529348203825</v>
      </c>
      <c r="H29" s="17">
        <f>($B$1/1000)*((H5+1)/1.01325)*(273.15/(273.15+A29))</f>
        <v>0.72632438838243019</v>
      </c>
      <c r="I29" s="17">
        <f>($B$1/1000)*((I5+1)/1.01325)*(273.15/(273.15+A29))</f>
        <v>0.84347348328282212</v>
      </c>
      <c r="J29" s="17">
        <f>($B$1/1000)*((J5+1)/1.01325)*(273.15/(273.15+A29))</f>
        <v>0.96062257818321406</v>
      </c>
      <c r="K29" s="17">
        <f>($B$1/1000)*((K5+1)/1.01325)*(273.15/(273.15+A29))</f>
        <v>1.0777716730836062</v>
      </c>
      <c r="L29" s="17">
        <f>($B$1/1000)*((L5+1)/1.01325)*(273.15/(273.15+A29))</f>
        <v>1.1949207679839982</v>
      </c>
      <c r="M29" s="17">
        <f>($B$1/1000)*((M5+1)/1.01325)*(273.15/(273.15+A29))</f>
        <v>1.3120698628843899</v>
      </c>
      <c r="N29" s="17">
        <f>($B$1/1000)*((N5+1)/1.01325)*(273.15/(273.15+A29))</f>
        <v>1.429218957784782</v>
      </c>
      <c r="O29" s="17">
        <f>($B$1/1000)*((O5+1)/1.01325)*(273.15/(273.15+A29))</f>
        <v>1.5463680526851737</v>
      </c>
      <c r="P29" s="17">
        <f>($B$1/1000)*((P5+1)/1.01325)*(273.15/(273.15+A29))</f>
        <v>1.6635171475855657</v>
      </c>
      <c r="Q29" s="17">
        <f>($B$1/1000)*((Q5+1)/1.01325)*(273.15/(273.15+A29))</f>
        <v>1.7806662424859578</v>
      </c>
      <c r="R29" s="17">
        <f>($B$1/1000)*((R5+1)/1.01325)*(273.15/(273.15+A29))</f>
        <v>1.89781533738635</v>
      </c>
      <c r="S29" s="17">
        <f>($B$1/1000)*((S5+1)/1.01325)*(273.15/(273.15+A29))</f>
        <v>2.0149644322867415</v>
      </c>
      <c r="T29" s="17">
        <f>($B$1/1000)*((T5+1)/1.01325)*(273.15/(273.15+A29))</f>
        <v>2.1321135271871339</v>
      </c>
      <c r="U29" s="17">
        <f>($B$1/1000)*((U5+1)/1.01325)*(273.15/(273.15+A29))</f>
        <v>2.2492626220875258</v>
      </c>
      <c r="V29" s="17">
        <f>($B$1/1000)*((V5+1)/1.01325)*(273.15/(273.15+A29))</f>
        <v>2.3664117169879177</v>
      </c>
      <c r="W29" s="17">
        <f>($B$1/1000)*((W5+1)/1.01325)*(273.15/(273.15+A29))</f>
        <v>2.4835608118883097</v>
      </c>
      <c r="X29" s="17">
        <f>($B$1/1000)*((X5+1)/1.01325)*(273.15/(273.15+A29))</f>
        <v>2.6007099067887016</v>
      </c>
      <c r="Y29" s="17">
        <f>($B$1/1000)*((Y5+1)/1.01325)*(273.15/(273.15+A29))</f>
        <v>2.7178590016890936</v>
      </c>
      <c r="Z29" s="17">
        <f>($B$1/1000)*((Z5+1)/1.01325)*(273.15/(273.15+A29))</f>
        <v>2.8350080965894855</v>
      </c>
      <c r="AA29" s="17">
        <f>($B$1/1000)*((AA5+1)/1.01325)*(273.15/(273.15+A29))</f>
        <v>2.9521571914898774</v>
      </c>
      <c r="AB29" s="17">
        <f>($B$1/1000)*((AB5+1)/1.01325)*(273.15/(273.15+A29))</f>
        <v>3.0693062863902689</v>
      </c>
      <c r="AC29" s="17">
        <f>($B$1/1000)*((AC5+1)/1.01325)*(273.15/(273.15+A29))</f>
        <v>3.1864553812906609</v>
      </c>
      <c r="AD29" s="17">
        <f>($B$1/1000)*((AD5+1)/1.01325)*(273.15/(273.15+A29))</f>
        <v>3.3036044761910532</v>
      </c>
      <c r="AE29" s="17">
        <f>($B$1/1000)*((AE5+1)/1.01325)*(273.15/(273.15+A29))</f>
        <v>3.4207535710914452</v>
      </c>
      <c r="AF29" s="17">
        <f>($B$1/1000)*((AF5+1)/1.01325)*(273.15/(273.15+A29))</f>
        <v>3.5379026659918376</v>
      </c>
      <c r="AG29" s="17">
        <f>($B$1/1000)*((AG5+1)/1.01325)*(273.15/(273.15+A29))</f>
        <v>3.6550517608922295</v>
      </c>
      <c r="AH29" s="17">
        <f>($B$1/1000)*((AH5+1)/1.01325)*(273.15/(273.15+A29))</f>
        <v>3.7722008557926214</v>
      </c>
      <c r="AI29" s="17">
        <f>($B$1/1000)*((AI5+1)/1.01325)*(273.15/(273.15+A29))</f>
        <v>3.8893499506930134</v>
      </c>
      <c r="AJ29" s="17">
        <f>($B$1/1000)*((AJ5+1)/1.01325)*(273.15/(273.15+A29))</f>
        <v>4.0064990455934053</v>
      </c>
      <c r="AK29" s="17">
        <f>($B$1/1000)*((AK5+1)/1.01325)*(273.15/(273.15+A29))</f>
        <v>4.1236481404937972</v>
      </c>
      <c r="AL29" s="17">
        <f>($B$1/1000)*((AL5+1)/1.01325)*(273.15/(273.15+A29))</f>
        <v>4.2407972353941892</v>
      </c>
      <c r="AM29" s="17">
        <f>($B$1/1000)*((AM5+1)/1.01325)*(273.15/(273.15+A29))</f>
        <v>4.3579463302945811</v>
      </c>
      <c r="AN29" s="17">
        <f>($B$1/1000)*((AN5+1)/1.01325)*(273.15/(273.15+A29))</f>
        <v>4.4750954251949731</v>
      </c>
      <c r="AO29" s="17">
        <f>($B$1/1000)*((AO5+1)/1.01325)*(273.15/(273.15+A29))</f>
        <v>4.592244520095365</v>
      </c>
      <c r="AP29" s="17">
        <f>($B$1/1000)*((AP5+1)/1.01325)*(273.15/(273.15+A29))</f>
        <v>4.7093936149957569</v>
      </c>
      <c r="AQ29" s="17">
        <f>($B$1/1000)*((AQ5+1)/1.01325)*(273.15/(273.15+A29))</f>
        <v>4.8265427098961489</v>
      </c>
      <c r="AR29" s="17">
        <f>($B$1/1000)*((AR5+1)/1.01325)*(273.15/(273.15+A29))</f>
        <v>4.9436918047965408</v>
      </c>
      <c r="AS29" s="17">
        <f>($B$1/1000)*((AS5+1)/1.01325)*(273.15/(273.15+A29))</f>
        <v>5.0608408996969327</v>
      </c>
      <c r="AT29" s="17">
        <f>($B$1/1000)*((AT5+1)/1.01325)*(273.15/(273.15+A29))</f>
        <v>5.1779899945973247</v>
      </c>
      <c r="AU29" s="17">
        <f>($B$1/1000)*((AU5+1)/1.01325)*(273.15/(273.15+A29))</f>
        <v>5.2951390894977166</v>
      </c>
      <c r="AV29" s="17">
        <f>($B$1/1000)*((AV5+1)/1.01325)*(273.15/(273.15+A29))</f>
        <v>5.4122881843981085</v>
      </c>
      <c r="AW29" s="17">
        <f>($B$1/1000)*((AW5+1)/1.01325)*(273.15/(273.15+A29))</f>
        <v>5.5294372792985005</v>
      </c>
      <c r="AX29" s="17">
        <f>($B$1/1000)*((AX5+1)/1.01325)*(273.15/(273.15+A29))</f>
        <v>5.6465863741988924</v>
      </c>
      <c r="AY29" s="17">
        <f>($B$1/1000)*((AY5+1)/1.01325)*(273.15/(273.15+A29))</f>
        <v>5.7637354690992844</v>
      </c>
      <c r="AZ29" s="17">
        <f>($B$1/1000)*((AZ5+1)/1.01325)*(273.15/(273.15+A29))</f>
        <v>5.8808845639996763</v>
      </c>
      <c r="BA29" s="17">
        <f>($B$1/1000)*((BA5+1)/1.01325)*(273.15/(273.15+A29))</f>
        <v>5.9980336589000682</v>
      </c>
      <c r="BB29" s="17">
        <f>($B$1/1000)*((BB5+1)/1.01325)*(273.15/(273.15+A29))</f>
        <v>6.1151827538004611</v>
      </c>
      <c r="BC29" s="17">
        <f>($B$1/1000)*((BC5+1)/1.01325)*(273.15/(273.15+A29))</f>
        <v>6.2323318487008521</v>
      </c>
      <c r="BD29" s="17">
        <f>($B$1/1000)*((BD5+1)/1.01325)*(273.15/(273.15+A29))</f>
        <v>6.3494809436012432</v>
      </c>
      <c r="BE29" s="17">
        <f>($B$1/1000)*((BE5+1)/1.01325)*(273.15/(273.15+A29))</f>
        <v>6.466630038501636</v>
      </c>
      <c r="BF29" s="17">
        <f>($B$1/1000)*((BF5+1)/1.01325)*(273.15/(273.15+A29))</f>
        <v>6.5837791334020279</v>
      </c>
      <c r="BG29" s="17">
        <f>($B$1/1000)*((BG5+1)/1.01325)*(273.15/(273.15+A29))</f>
        <v>6.7009282283024199</v>
      </c>
      <c r="BH29" s="17">
        <f>($B$1/1000)*((BH5+1)/1.01325)*(273.15/(273.15+A29))</f>
        <v>6.8180773232028118</v>
      </c>
      <c r="BI29" s="17">
        <f>($B$1/1000)*((BI5+1)/1.01325)*(273.15/(273.15+A29))</f>
        <v>6.9352264181032046</v>
      </c>
      <c r="BJ29" s="17">
        <f>($B$1/1000)*((BJ5+1)/1.01325)*(273.15/(273.15+A29))</f>
        <v>7.0523755130035966</v>
      </c>
    </row>
    <row r="30" spans="1:62" ht="18.75">
      <c r="A30" s="1">
        <v>28</v>
      </c>
      <c r="B30" s="17">
        <f>($B$1/1000)*((B5+1)/1.01325)*(273.15/(273.15+A30))</f>
        <v>2.3274216662428859E-2</v>
      </c>
      <c r="C30" s="17">
        <f>($B$1/1000)*((C5+1)/1.01325)*(273.15/(273.15+A30))</f>
        <v>0.13964529997457317</v>
      </c>
      <c r="D30" s="17">
        <f>($B$1/1000)*((D5+1)/1.01325)*(273.15/(273.15+A30))</f>
        <v>0.25601638328671744</v>
      </c>
      <c r="E30" s="17">
        <f>($B$1/1000)*((E5+1)/1.01325)*(273.15/(273.15+A30))</f>
        <v>0.37238746659886174</v>
      </c>
      <c r="F30" s="17">
        <f>($B$1/1000)*((F5+1)/1.01325)*(273.15/(273.15+A30))</f>
        <v>0.48875854991100598</v>
      </c>
      <c r="G30" s="17">
        <f>($B$1/1000)*((G5+1)/1.01325)*(273.15/(273.15+A30))</f>
        <v>0.60512963322315039</v>
      </c>
      <c r="H30" s="17">
        <f>($B$1/1000)*((H5+1)/1.01325)*(273.15/(273.15+A30))</f>
        <v>0.72150071653529468</v>
      </c>
      <c r="I30" s="17">
        <f>($B$1/1000)*((I5+1)/1.01325)*(273.15/(273.15+A30))</f>
        <v>0.83787179984743898</v>
      </c>
      <c r="J30" s="17">
        <f>($B$1/1000)*((J5+1)/1.01325)*(273.15/(273.15+A30))</f>
        <v>0.95424288315958317</v>
      </c>
      <c r="K30" s="17">
        <f>($B$1/1000)*((K5+1)/1.01325)*(273.15/(273.15+A30))</f>
        <v>1.0706139664717276</v>
      </c>
      <c r="L30" s="17">
        <f>($B$1/1000)*((L5+1)/1.01325)*(273.15/(273.15+A30))</f>
        <v>1.1869850497838719</v>
      </c>
      <c r="M30" s="17">
        <f>($B$1/1000)*((M5+1)/1.01325)*(273.15/(273.15+A30))</f>
        <v>1.3033561330960162</v>
      </c>
      <c r="N30" s="17">
        <f>($B$1/1000)*((N5+1)/1.01325)*(273.15/(273.15+A30))</f>
        <v>1.4197272164081605</v>
      </c>
      <c r="O30" s="17">
        <f>($B$1/1000)*((O5+1)/1.01325)*(273.15/(273.15+A30))</f>
        <v>1.5360982997203045</v>
      </c>
      <c r="P30" s="17">
        <f>($B$1/1000)*((P5+1)/1.01325)*(273.15/(273.15+A30))</f>
        <v>1.6524693830324488</v>
      </c>
      <c r="Q30" s="17">
        <f>($B$1/1000)*((Q5+1)/1.01325)*(273.15/(273.15+A30))</f>
        <v>1.7688404663445934</v>
      </c>
      <c r="R30" s="17">
        <f>($B$1/1000)*((R5+1)/1.01325)*(273.15/(273.15+A30))</f>
        <v>1.8852115496567377</v>
      </c>
      <c r="S30" s="17">
        <f>($B$1/1000)*((S5+1)/1.01325)*(273.15/(273.15+A30))</f>
        <v>2.0015826329688817</v>
      </c>
      <c r="T30" s="17">
        <f>($B$1/1000)*((T5+1)/1.01325)*(273.15/(273.15+A30))</f>
        <v>2.1179537162810265</v>
      </c>
      <c r="U30" s="17">
        <f>($B$1/1000)*((U5+1)/1.01325)*(273.15/(273.15+A30))</f>
        <v>2.2343247995931708</v>
      </c>
      <c r="V30" s="17">
        <f>($B$1/1000)*((V5+1)/1.01325)*(273.15/(273.15+A30))</f>
        <v>2.3506958829053151</v>
      </c>
      <c r="W30" s="17">
        <f>($B$1/1000)*((W5+1)/1.01325)*(273.15/(273.15+A30))</f>
        <v>2.4670669662174594</v>
      </c>
      <c r="X30" s="17">
        <f>($B$1/1000)*((X5+1)/1.01325)*(273.15/(273.15+A30))</f>
        <v>2.5834380495296037</v>
      </c>
      <c r="Y30" s="17">
        <f>($B$1/1000)*((Y5+1)/1.01325)*(273.15/(273.15+A30))</f>
        <v>2.6998091328417479</v>
      </c>
      <c r="Z30" s="17">
        <f>($B$1/1000)*((Z5+1)/1.01325)*(273.15/(273.15+A30))</f>
        <v>2.8161802161538922</v>
      </c>
      <c r="AA30" s="17">
        <f>($B$1/1000)*((AA5+1)/1.01325)*(273.15/(273.15+A30))</f>
        <v>2.9325512994660365</v>
      </c>
      <c r="AB30" s="17">
        <f>($B$1/1000)*((AB5+1)/1.01325)*(273.15/(273.15+A30))</f>
        <v>3.0489223827781804</v>
      </c>
      <c r="AC30" s="17">
        <f>($B$1/1000)*((AC5+1)/1.01325)*(273.15/(273.15+A30))</f>
        <v>3.1652934660903247</v>
      </c>
      <c r="AD30" s="17">
        <f>($B$1/1000)*((AD5+1)/1.01325)*(273.15/(273.15+A30))</f>
        <v>3.2816645494024694</v>
      </c>
      <c r="AE30" s="17">
        <f>($B$1/1000)*((AE5+1)/1.01325)*(273.15/(273.15+A30))</f>
        <v>3.3980356327146137</v>
      </c>
      <c r="AF30" s="17">
        <f>($B$1/1000)*((AF5+1)/1.01325)*(273.15/(273.15+A30))</f>
        <v>3.514406716026758</v>
      </c>
      <c r="AG30" s="17">
        <f>($B$1/1000)*((AG5+1)/1.01325)*(273.15/(273.15+A30))</f>
        <v>3.6307777993389023</v>
      </c>
      <c r="AH30" s="17">
        <f>($B$1/1000)*((AH5+1)/1.01325)*(273.15/(273.15+A30))</f>
        <v>3.7471488826510466</v>
      </c>
      <c r="AI30" s="17">
        <f>($B$1/1000)*((AI5+1)/1.01325)*(273.15/(273.15+A30))</f>
        <v>3.8635199659631909</v>
      </c>
      <c r="AJ30" s="17">
        <f>($B$1/1000)*((AJ5+1)/1.01325)*(273.15/(273.15+A30))</f>
        <v>3.9798910492753352</v>
      </c>
      <c r="AK30" s="17">
        <f>($B$1/1000)*((AK5+1)/1.01325)*(273.15/(273.15+A30))</f>
        <v>4.0962621325874791</v>
      </c>
      <c r="AL30" s="17">
        <f>($B$1/1000)*((AL5+1)/1.01325)*(273.15/(273.15+A30))</f>
        <v>4.2126332158996238</v>
      </c>
      <c r="AM30" s="17">
        <f>($B$1/1000)*((AM5+1)/1.01325)*(273.15/(273.15+A30))</f>
        <v>4.3290042992117677</v>
      </c>
      <c r="AN30" s="17">
        <f>($B$1/1000)*((AN5+1)/1.01325)*(273.15/(273.15+A30))</f>
        <v>4.4453753825239124</v>
      </c>
      <c r="AO30" s="17">
        <f>($B$1/1000)*((AO5+1)/1.01325)*(273.15/(273.15+A30))</f>
        <v>4.5617464658360563</v>
      </c>
      <c r="AP30" s="17">
        <f>($B$1/1000)*((AP5+1)/1.01325)*(273.15/(273.15+A30))</f>
        <v>4.678117549148201</v>
      </c>
      <c r="AQ30" s="17">
        <f>($B$1/1000)*((AQ5+1)/1.01325)*(273.15/(273.15+A30))</f>
        <v>4.7944886324603448</v>
      </c>
      <c r="AR30" s="17">
        <f>($B$1/1000)*((AR5+1)/1.01325)*(273.15/(273.15+A30))</f>
        <v>4.9108597157724896</v>
      </c>
      <c r="AS30" s="17">
        <f>($B$1/1000)*((AS5+1)/1.01325)*(273.15/(273.15+A30))</f>
        <v>5.0272307990846334</v>
      </c>
      <c r="AT30" s="17">
        <f>($B$1/1000)*((AT5+1)/1.01325)*(273.15/(273.15+A30))</f>
        <v>5.1436018823967782</v>
      </c>
      <c r="AU30" s="17">
        <f>($B$1/1000)*((AU5+1)/1.01325)*(273.15/(273.15+A30))</f>
        <v>5.259972965708922</v>
      </c>
      <c r="AV30" s="17">
        <f>($B$1/1000)*((AV5+1)/1.01325)*(273.15/(273.15+A30))</f>
        <v>5.3763440490210668</v>
      </c>
      <c r="AW30" s="17">
        <f>($B$1/1000)*((AW5+1)/1.01325)*(273.15/(273.15+A30))</f>
        <v>5.4927151323332106</v>
      </c>
      <c r="AX30" s="17">
        <f>($B$1/1000)*((AX5+1)/1.01325)*(273.15/(273.15+A30))</f>
        <v>5.6090862156453554</v>
      </c>
      <c r="AY30" s="17">
        <f>($B$1/1000)*((AY5+1)/1.01325)*(273.15/(273.15+A30))</f>
        <v>5.7254572989574992</v>
      </c>
      <c r="AZ30" s="17">
        <f>($B$1/1000)*((AZ5+1)/1.01325)*(273.15/(273.15+A30))</f>
        <v>5.841828382269644</v>
      </c>
      <c r="BA30" s="17">
        <f>($B$1/1000)*((BA5+1)/1.01325)*(273.15/(273.15+A30))</f>
        <v>5.9581994655817878</v>
      </c>
      <c r="BB30" s="17">
        <f>($B$1/1000)*((BB5+1)/1.01325)*(273.15/(273.15+A30))</f>
        <v>6.0745705488939334</v>
      </c>
      <c r="BC30" s="17">
        <f>($B$1/1000)*((BC5+1)/1.01325)*(273.15/(273.15+A30))</f>
        <v>6.1909416322060764</v>
      </c>
      <c r="BD30" s="17">
        <f>($B$1/1000)*((BD5+1)/1.01325)*(273.15/(273.15+A30))</f>
        <v>6.3073127155182203</v>
      </c>
      <c r="BE30" s="17">
        <f>($B$1/1000)*((BE5+1)/1.01325)*(273.15/(273.15+A30))</f>
        <v>6.423683798830365</v>
      </c>
      <c r="BF30" s="17">
        <f>($B$1/1000)*((BF5+1)/1.01325)*(273.15/(273.15+A30))</f>
        <v>6.5400548821425097</v>
      </c>
      <c r="BG30" s="17">
        <f>($B$1/1000)*((BG5+1)/1.01325)*(273.15/(273.15+A30))</f>
        <v>6.6564259654546536</v>
      </c>
      <c r="BH30" s="17">
        <f>($B$1/1000)*((BH5+1)/1.01325)*(273.15/(273.15+A30))</f>
        <v>6.7727970487667983</v>
      </c>
      <c r="BI30" s="17">
        <f>($B$1/1000)*((BI5+1)/1.01325)*(273.15/(273.15+A30))</f>
        <v>6.8891681320789431</v>
      </c>
      <c r="BJ30" s="17">
        <f>($B$1/1000)*((BJ5+1)/1.01325)*(273.15/(273.15+A30))</f>
        <v>7.0055392153910869</v>
      </c>
    </row>
    <row r="31" spans="1:62" ht="18.75">
      <c r="A31" s="1">
        <v>30</v>
      </c>
      <c r="B31" s="17">
        <f>($B$1/1000)*((B5+1)/1.01325)*(273.15/(273.15+A31))</f>
        <v>2.3120667484382157E-2</v>
      </c>
      <c r="C31" s="17">
        <f>($B$1/1000)*((C5+1)/1.01325)*(273.15/(273.15+A31))</f>
        <v>0.13872400490629297</v>
      </c>
      <c r="D31" s="17">
        <f>($B$1/1000)*((D5+1)/1.01325)*(273.15/(273.15+A31))</f>
        <v>0.25432734232820375</v>
      </c>
      <c r="E31" s="17">
        <f>($B$1/1000)*((E5+1)/1.01325)*(273.15/(273.15+A31))</f>
        <v>0.36993067975011451</v>
      </c>
      <c r="F31" s="17">
        <f>($B$1/1000)*((F5+1)/1.01325)*(273.15/(273.15+A31))</f>
        <v>0.48553401717202527</v>
      </c>
      <c r="G31" s="17">
        <f>($B$1/1000)*((G5+1)/1.01325)*(273.15/(273.15+A31))</f>
        <v>0.60113735459393614</v>
      </c>
      <c r="H31" s="17">
        <f>($B$1/1000)*((H5+1)/1.01325)*(273.15/(273.15+A31))</f>
        <v>0.716740692015847</v>
      </c>
      <c r="I31" s="17">
        <f>($B$1/1000)*((I5+1)/1.01325)*(273.15/(273.15+A31))</f>
        <v>0.83234402943775776</v>
      </c>
      <c r="J31" s="17">
        <f>($B$1/1000)*((J5+1)/1.01325)*(273.15/(273.15+A31))</f>
        <v>0.94794736685966841</v>
      </c>
      <c r="K31" s="17">
        <f>($B$1/1000)*((K5+1)/1.01325)*(273.15/(273.15+A31))</f>
        <v>1.0635507042815795</v>
      </c>
      <c r="L31" s="17">
        <f>($B$1/1000)*((L5+1)/1.01325)*(273.15/(273.15+A31))</f>
        <v>1.1791540417034903</v>
      </c>
      <c r="M31" s="17">
        <f>($B$1/1000)*((M5+1)/1.01325)*(273.15/(273.15+A31))</f>
        <v>1.2947573791254008</v>
      </c>
      <c r="N31" s="17">
        <f>($B$1/1000)*((N5+1)/1.01325)*(273.15/(273.15+A31))</f>
        <v>1.4103607165473118</v>
      </c>
      <c r="O31" s="17">
        <f>($B$1/1000)*((O5+1)/1.01325)*(273.15/(273.15+A31))</f>
        <v>1.5259640539692223</v>
      </c>
      <c r="P31" s="17">
        <f>($B$1/1000)*((P5+1)/1.01325)*(273.15/(273.15+A31))</f>
        <v>1.6415673913911333</v>
      </c>
      <c r="Q31" s="17">
        <f>($B$1/1000)*((Q5+1)/1.01325)*(273.15/(273.15+A31))</f>
        <v>1.7571707288130443</v>
      </c>
      <c r="R31" s="17">
        <f>($B$1/1000)*((R5+1)/1.01325)*(273.15/(273.15+A31))</f>
        <v>1.872774066234955</v>
      </c>
      <c r="S31" s="17">
        <f>($B$1/1000)*((S5+1)/1.01325)*(273.15/(273.15+A31))</f>
        <v>1.9883774036568653</v>
      </c>
      <c r="T31" s="17">
        <f>($B$1/1000)*((T5+1)/1.01325)*(273.15/(273.15+A31))</f>
        <v>2.1039807410787765</v>
      </c>
      <c r="U31" s="17">
        <f>($B$1/1000)*((U5+1)/1.01325)*(273.15/(273.15+A31))</f>
        <v>2.2195840785006875</v>
      </c>
      <c r="V31" s="17">
        <f>($B$1/1000)*((V5+1)/1.01325)*(273.15/(273.15+A31))</f>
        <v>2.335187415922598</v>
      </c>
      <c r="W31" s="17">
        <f>($B$1/1000)*((W5+1)/1.01325)*(273.15/(273.15+A31))</f>
        <v>2.450790753344509</v>
      </c>
      <c r="X31" s="17">
        <f>($B$1/1000)*((X5+1)/1.01325)*(273.15/(273.15+A31))</f>
        <v>2.5663940907664196</v>
      </c>
      <c r="Y31" s="17">
        <f>($B$1/1000)*((Y5+1)/1.01325)*(273.15/(273.15+A31))</f>
        <v>2.6819974281883305</v>
      </c>
      <c r="Z31" s="17">
        <f>($B$1/1000)*((Z5+1)/1.01325)*(273.15/(273.15+A31))</f>
        <v>2.7976007656102411</v>
      </c>
      <c r="AA31" s="17">
        <f>($B$1/1000)*((AA5+1)/1.01325)*(273.15/(273.15+A31))</f>
        <v>2.913204103032152</v>
      </c>
      <c r="AB31" s="17">
        <f>($B$1/1000)*((AB5+1)/1.01325)*(273.15/(273.15+A31))</f>
        <v>3.0288074404540626</v>
      </c>
      <c r="AC31" s="17">
        <f>($B$1/1000)*((AC5+1)/1.01325)*(273.15/(273.15+A31))</f>
        <v>3.1444107778759731</v>
      </c>
      <c r="AD31" s="17">
        <f>($B$1/1000)*((AD5+1)/1.01325)*(273.15/(273.15+A31))</f>
        <v>3.2600141152978845</v>
      </c>
      <c r="AE31" s="17">
        <f>($B$1/1000)*((AE5+1)/1.01325)*(273.15/(273.15+A31))</f>
        <v>3.3756174527197951</v>
      </c>
      <c r="AF31" s="17">
        <f>($B$1/1000)*((AF5+1)/1.01325)*(273.15/(273.15+A31))</f>
        <v>3.4912207901417061</v>
      </c>
      <c r="AG31" s="17">
        <f>($B$1/1000)*((AG5+1)/1.01325)*(273.15/(273.15+A31))</f>
        <v>3.6068241275636166</v>
      </c>
      <c r="AH31" s="17">
        <f>($B$1/1000)*((AH5+1)/1.01325)*(273.15/(273.15+A31))</f>
        <v>3.7224274649855276</v>
      </c>
      <c r="AI31" s="17">
        <f>($B$1/1000)*((AI5+1)/1.01325)*(273.15/(273.15+A31))</f>
        <v>3.8380308024074385</v>
      </c>
      <c r="AJ31" s="17">
        <f>($B$1/1000)*((AJ5+1)/1.01325)*(273.15/(273.15+A31))</f>
        <v>3.9536341398293491</v>
      </c>
      <c r="AK31" s="17">
        <f>($B$1/1000)*((AK5+1)/1.01325)*(273.15/(273.15+A31))</f>
        <v>4.0692374772512601</v>
      </c>
      <c r="AL31" s="17">
        <f>($B$1/1000)*((AL5+1)/1.01325)*(273.15/(273.15+A31))</f>
        <v>4.184840814673171</v>
      </c>
      <c r="AM31" s="17">
        <f>($B$1/1000)*((AM5+1)/1.01325)*(273.15/(273.15+A31))</f>
        <v>4.3004441520950811</v>
      </c>
      <c r="AN31" s="17">
        <f>($B$1/1000)*((AN5+1)/1.01325)*(273.15/(273.15+A31))</f>
        <v>4.4160474895169921</v>
      </c>
      <c r="AO31" s="17">
        <f>($B$1/1000)*((AO5+1)/1.01325)*(273.15/(273.15+A31))</f>
        <v>4.5316508269389031</v>
      </c>
      <c r="AP31" s="17">
        <f>($B$1/1000)*((AP5+1)/1.01325)*(273.15/(273.15+A31))</f>
        <v>4.6472541643608141</v>
      </c>
      <c r="AQ31" s="17">
        <f>($B$1/1000)*((AQ5+1)/1.01325)*(273.15/(273.15+A31))</f>
        <v>4.762857501782725</v>
      </c>
      <c r="AR31" s="17">
        <f>($B$1/1000)*((AR5+1)/1.01325)*(273.15/(273.15+A31))</f>
        <v>4.8784608392046351</v>
      </c>
      <c r="AS31" s="17">
        <f>($B$1/1000)*((AS5+1)/1.01325)*(273.15/(273.15+A31))</f>
        <v>4.9940641766265461</v>
      </c>
      <c r="AT31" s="17">
        <f>($B$1/1000)*((AT5+1)/1.01325)*(273.15/(273.15+A31))</f>
        <v>5.1096675140484571</v>
      </c>
      <c r="AU31" s="17">
        <f>($B$1/1000)*((AU5+1)/1.01325)*(273.15/(273.15+A31))</f>
        <v>5.2252708514703681</v>
      </c>
      <c r="AV31" s="17">
        <f>($B$1/1000)*((AV5+1)/1.01325)*(273.15/(273.15+A31))</f>
        <v>5.3408741888922791</v>
      </c>
      <c r="AW31" s="17">
        <f>($B$1/1000)*((AW5+1)/1.01325)*(273.15/(273.15+A31))</f>
        <v>5.4564775263141891</v>
      </c>
      <c r="AX31" s="17">
        <f>($B$1/1000)*((AX5+1)/1.01325)*(273.15/(273.15+A31))</f>
        <v>5.5720808637361001</v>
      </c>
      <c r="AY31" s="17">
        <f>($B$1/1000)*((AY5+1)/1.01325)*(273.15/(273.15+A31))</f>
        <v>5.6876842011580111</v>
      </c>
      <c r="AZ31" s="17">
        <f>($B$1/1000)*((AZ5+1)/1.01325)*(273.15/(273.15+A31))</f>
        <v>5.8032875385799221</v>
      </c>
      <c r="BA31" s="17">
        <f>($B$1/1000)*((BA5+1)/1.01325)*(273.15/(273.15+A31))</f>
        <v>5.9188908760018322</v>
      </c>
      <c r="BB31" s="17">
        <f>($B$1/1000)*((BB5+1)/1.01325)*(273.15/(273.15+A31))</f>
        <v>6.034494213423744</v>
      </c>
      <c r="BC31" s="17">
        <f>($B$1/1000)*((BC5+1)/1.01325)*(273.15/(273.15+A31))</f>
        <v>6.1500975508456541</v>
      </c>
      <c r="BD31" s="17">
        <f>($B$1/1000)*((BD5+1)/1.01325)*(273.15/(273.15+A31))</f>
        <v>6.2657008882675642</v>
      </c>
      <c r="BE31" s="17">
        <f>($B$1/1000)*((BE5+1)/1.01325)*(273.15/(273.15+A31))</f>
        <v>6.3813042256894761</v>
      </c>
      <c r="BF31" s="17">
        <f>($B$1/1000)*((BF5+1)/1.01325)*(273.15/(273.15+A31))</f>
        <v>6.4969075631113862</v>
      </c>
      <c r="BG31" s="17">
        <f>($B$1/1000)*((BG5+1)/1.01325)*(273.15/(273.15+A31))</f>
        <v>6.6125109005332972</v>
      </c>
      <c r="BH31" s="17">
        <f>($B$1/1000)*((BH5+1)/1.01325)*(273.15/(273.15+A31))</f>
        <v>6.7281142379552081</v>
      </c>
      <c r="BI31" s="17">
        <f>($B$1/1000)*((BI5+1)/1.01325)*(273.15/(273.15+A31))</f>
        <v>6.84371757537712</v>
      </c>
      <c r="BJ31" s="17">
        <f>($B$1/1000)*((BJ5+1)/1.01325)*(273.15/(273.15+A31))</f>
        <v>6.9593209127990301</v>
      </c>
    </row>
    <row r="32" spans="1:62" ht="18.75">
      <c r="A32" s="1">
        <v>32</v>
      </c>
      <c r="B32" s="17">
        <f>($B$1/1000)*((B5+1)/1.01325)*(273.15/(273.15+A32))</f>
        <v>2.2969131076160745E-2</v>
      </c>
      <c r="C32" s="17">
        <f>($B$1/1000)*((C5+1)/1.01325)*(273.15/(273.15+A32))</f>
        <v>0.13781478645696446</v>
      </c>
      <c r="D32" s="17">
        <f>($B$1/1000)*((D5+1)/1.01325)*(273.15/(273.15+A32))</f>
        <v>0.2526604418377682</v>
      </c>
      <c r="E32" s="17">
        <f>($B$1/1000)*((E5+1)/1.01325)*(273.15/(273.15+A32))</f>
        <v>0.36750609721857191</v>
      </c>
      <c r="F32" s="17">
        <f>($B$1/1000)*((F5+1)/1.01325)*(273.15/(273.15+A32))</f>
        <v>0.48235175259937557</v>
      </c>
      <c r="G32" s="17">
        <f>($B$1/1000)*((G5+1)/1.01325)*(273.15/(273.15+A32))</f>
        <v>0.5971974079801794</v>
      </c>
      <c r="H32" s="17">
        <f>($B$1/1000)*((H5+1)/1.01325)*(273.15/(273.15+A32))</f>
        <v>0.71204306336098311</v>
      </c>
      <c r="I32" s="17">
        <f>($B$1/1000)*((I5+1)/1.01325)*(273.15/(273.15+A32))</f>
        <v>0.82688871874178682</v>
      </c>
      <c r="J32" s="17">
        <f>($B$1/1000)*((J5+1)/1.01325)*(273.15/(273.15+A32))</f>
        <v>0.94173437412259042</v>
      </c>
      <c r="K32" s="17">
        <f>($B$1/1000)*((K5+1)/1.01325)*(273.15/(273.15+A32))</f>
        <v>1.0565800295033942</v>
      </c>
      <c r="L32" s="17">
        <f>($B$1/1000)*((L5+1)/1.01325)*(273.15/(273.15+A32))</f>
        <v>1.171425684884198</v>
      </c>
      <c r="M32" s="17">
        <f>($B$1/1000)*((M5+1)/1.01325)*(273.15/(273.15+A32))</f>
        <v>1.2862713402650015</v>
      </c>
      <c r="N32" s="17">
        <f>($B$1/1000)*((N5+1)/1.01325)*(273.15/(273.15+A32))</f>
        <v>1.4011169956458054</v>
      </c>
      <c r="O32" s="17">
        <f>($B$1/1000)*((O5+1)/1.01325)*(273.15/(273.15+A32))</f>
        <v>1.5159626510266089</v>
      </c>
      <c r="P32" s="17">
        <f>($B$1/1000)*((P5+1)/1.01325)*(273.15/(273.15+A32))</f>
        <v>1.6308083064074126</v>
      </c>
      <c r="Q32" s="17">
        <f>($B$1/1000)*((Q5+1)/1.01325)*(273.15/(273.15+A32))</f>
        <v>1.7456539617882165</v>
      </c>
      <c r="R32" s="17">
        <f>($B$1/1000)*((R5+1)/1.01325)*(273.15/(273.15+A32))</f>
        <v>1.8604996171690202</v>
      </c>
      <c r="S32" s="17">
        <f>($B$1/1000)*((S5+1)/1.01325)*(273.15/(273.15+A32))</f>
        <v>1.9753452725498237</v>
      </c>
      <c r="T32" s="17">
        <f>($B$1/1000)*((T5+1)/1.01325)*(273.15/(273.15+A32))</f>
        <v>2.0901909279306277</v>
      </c>
      <c r="U32" s="17">
        <f>($B$1/1000)*((U5+1)/1.01325)*(273.15/(273.15+A32))</f>
        <v>2.2050365833114314</v>
      </c>
      <c r="V32" s="17">
        <f>($B$1/1000)*((V5+1)/1.01325)*(273.15/(273.15+A32))</f>
        <v>2.3198822386922351</v>
      </c>
      <c r="W32" s="17">
        <f>($B$1/1000)*((W5+1)/1.01325)*(273.15/(273.15+A32))</f>
        <v>2.4347278940730388</v>
      </c>
      <c r="X32" s="17">
        <f>($B$1/1000)*((X5+1)/1.01325)*(273.15/(273.15+A32))</f>
        <v>2.5495735494538425</v>
      </c>
      <c r="Y32" s="17">
        <f>($B$1/1000)*((Y5+1)/1.01325)*(273.15/(273.15+A32))</f>
        <v>2.6644192048346462</v>
      </c>
      <c r="Z32" s="17">
        <f>($B$1/1000)*((Z5+1)/1.01325)*(273.15/(273.15+A32))</f>
        <v>2.7792648602154499</v>
      </c>
      <c r="AA32" s="17">
        <f>($B$1/1000)*((AA5+1)/1.01325)*(273.15/(273.15+A32))</f>
        <v>2.8941105155962537</v>
      </c>
      <c r="AB32" s="17">
        <f>($B$1/1000)*((AB5+1)/1.01325)*(273.15/(273.15+A32))</f>
        <v>3.0089561709770569</v>
      </c>
      <c r="AC32" s="17">
        <f>($B$1/1000)*((AC5+1)/1.01325)*(273.15/(273.15+A32))</f>
        <v>3.1238018263578606</v>
      </c>
      <c r="AD32" s="17">
        <f>($B$1/1000)*((AD5+1)/1.01325)*(273.15/(273.15+A32))</f>
        <v>3.2386474817386648</v>
      </c>
      <c r="AE32" s="17">
        <f>($B$1/1000)*((AE5+1)/1.01325)*(273.15/(273.15+A32))</f>
        <v>3.3534931371194685</v>
      </c>
      <c r="AF32" s="17">
        <f>($B$1/1000)*((AF5+1)/1.01325)*(273.15/(273.15+A32))</f>
        <v>3.4683387925002722</v>
      </c>
      <c r="AG32" s="17">
        <f>($B$1/1000)*((AG5+1)/1.01325)*(273.15/(273.15+A32))</f>
        <v>3.5831844478810759</v>
      </c>
      <c r="AH32" s="17">
        <f>($B$1/1000)*((AH5+1)/1.01325)*(273.15/(273.15+A32))</f>
        <v>3.6980301032618796</v>
      </c>
      <c r="AI32" s="17">
        <f>($B$1/1000)*((AI5+1)/1.01325)*(273.15/(273.15+A32))</f>
        <v>3.8128757586426834</v>
      </c>
      <c r="AJ32" s="17">
        <f>($B$1/1000)*((AJ5+1)/1.01325)*(273.15/(273.15+A32))</f>
        <v>3.9277214140234871</v>
      </c>
      <c r="AK32" s="17">
        <f>($B$1/1000)*((AK5+1)/1.01325)*(273.15/(273.15+A32))</f>
        <v>4.0425670694042912</v>
      </c>
      <c r="AL32" s="17">
        <f>($B$1/1000)*((AL5+1)/1.01325)*(273.15/(273.15+A32))</f>
        <v>4.1574127247850949</v>
      </c>
      <c r="AM32" s="17">
        <f>($B$1/1000)*((AM5+1)/1.01325)*(273.15/(273.15+A32))</f>
        <v>4.2722583801658987</v>
      </c>
      <c r="AN32" s="17">
        <f>($B$1/1000)*((AN5+1)/1.01325)*(273.15/(273.15+A32))</f>
        <v>4.3871040355467024</v>
      </c>
      <c r="AO32" s="17">
        <f>($B$1/1000)*((AO5+1)/1.01325)*(273.15/(273.15+A32))</f>
        <v>4.5019496909275061</v>
      </c>
      <c r="AP32" s="17">
        <f>($B$1/1000)*((AP5+1)/1.01325)*(273.15/(273.15+A32))</f>
        <v>4.6167953463083098</v>
      </c>
      <c r="AQ32" s="17">
        <f>($B$1/1000)*((AQ5+1)/1.01325)*(273.15/(273.15+A32))</f>
        <v>4.7316410016891135</v>
      </c>
      <c r="AR32" s="17">
        <f>($B$1/1000)*((AR5+1)/1.01325)*(273.15/(273.15+A32))</f>
        <v>4.8464866570699172</v>
      </c>
      <c r="AS32" s="17">
        <f>($B$1/1000)*((AS5+1)/1.01325)*(273.15/(273.15+A32))</f>
        <v>4.9613323124507209</v>
      </c>
      <c r="AT32" s="17">
        <f>($B$1/1000)*((AT5+1)/1.01325)*(273.15/(273.15+A32))</f>
        <v>5.0761779678315246</v>
      </c>
      <c r="AU32" s="17">
        <f>($B$1/1000)*((AU5+1)/1.01325)*(273.15/(273.15+A32))</f>
        <v>5.1910236232123284</v>
      </c>
      <c r="AV32" s="17">
        <f>($B$1/1000)*((AV5+1)/1.01325)*(273.15/(273.15+A32))</f>
        <v>5.3058692785931321</v>
      </c>
      <c r="AW32" s="17">
        <f>($B$1/1000)*((AW5+1)/1.01325)*(273.15/(273.15+A32))</f>
        <v>5.4207149339739358</v>
      </c>
      <c r="AX32" s="17">
        <f>($B$1/1000)*((AX5+1)/1.01325)*(273.15/(273.15+A32))</f>
        <v>5.5355605893547395</v>
      </c>
      <c r="AY32" s="17">
        <f>($B$1/1000)*((AY5+1)/1.01325)*(273.15/(273.15+A32))</f>
        <v>5.6504062447355432</v>
      </c>
      <c r="AZ32" s="17">
        <f>($B$1/1000)*((AZ5+1)/1.01325)*(273.15/(273.15+A32))</f>
        <v>5.7652519001163469</v>
      </c>
      <c r="BA32" s="17">
        <f>($B$1/1000)*((BA5+1)/1.01325)*(273.15/(273.15+A32))</f>
        <v>5.8800975554971506</v>
      </c>
      <c r="BB32" s="17">
        <f>($B$1/1000)*((BB5+1)/1.01325)*(273.15/(273.15+A32))</f>
        <v>5.9949432108779552</v>
      </c>
      <c r="BC32" s="17">
        <f>($B$1/1000)*((BC5+1)/1.01325)*(273.15/(273.15+A32))</f>
        <v>6.1097888662587581</v>
      </c>
      <c r="BD32" s="17">
        <f>($B$1/1000)*((BD5+1)/1.01325)*(273.15/(273.15+A32))</f>
        <v>6.2246345216395609</v>
      </c>
      <c r="BE32" s="17">
        <f>($B$1/1000)*((BE5+1)/1.01325)*(273.15/(273.15+A32))</f>
        <v>6.3394801770203655</v>
      </c>
      <c r="BF32" s="17">
        <f>($B$1/1000)*((BF5+1)/1.01325)*(273.15/(273.15+A32))</f>
        <v>6.4543258324011692</v>
      </c>
      <c r="BG32" s="17">
        <f>($B$1/1000)*((BG5+1)/1.01325)*(273.15/(273.15+A32))</f>
        <v>6.5691714877819729</v>
      </c>
      <c r="BH32" s="17">
        <f>($B$1/1000)*((BH5+1)/1.01325)*(273.15/(273.15+A32))</f>
        <v>6.6840171431627766</v>
      </c>
      <c r="BI32" s="17">
        <f>($B$1/1000)*((BI5+1)/1.01325)*(273.15/(273.15+A32))</f>
        <v>6.7988627985435812</v>
      </c>
      <c r="BJ32" s="17">
        <f>($B$1/1000)*((BJ5+1)/1.01325)*(273.15/(273.15+A32))</f>
        <v>6.913708453924384</v>
      </c>
    </row>
    <row r="33" spans="1:62" ht="18.75">
      <c r="A33" s="1">
        <v>34</v>
      </c>
      <c r="B33" s="17">
        <f>($B$1/1000)*((B5+1)/1.01325)*(273.15/(273.15+A33))</f>
        <v>2.2819568119454504E-2</v>
      </c>
      <c r="C33" s="17">
        <f>($B$1/1000)*((C5+1)/1.01325)*(273.15/(273.15+A33))</f>
        <v>0.13691740871672703</v>
      </c>
      <c r="D33" s="17">
        <f>($B$1/1000)*((D5+1)/1.01325)*(273.15/(273.15+A33))</f>
        <v>0.25101524931399954</v>
      </c>
      <c r="E33" s="17">
        <f>($B$1/1000)*((E5+1)/1.01325)*(273.15/(273.15+A33))</f>
        <v>0.36511308991127206</v>
      </c>
      <c r="F33" s="17">
        <f>($B$1/1000)*((F5+1)/1.01325)*(273.15/(273.15+A33))</f>
        <v>0.47921093050854452</v>
      </c>
      <c r="G33" s="17">
        <f>($B$1/1000)*((G5+1)/1.01325)*(273.15/(273.15+A33))</f>
        <v>0.59330877110581715</v>
      </c>
      <c r="H33" s="17">
        <f>($B$1/1000)*((H5+1)/1.01325)*(273.15/(273.15+A33))</f>
        <v>0.70740661170308961</v>
      </c>
      <c r="I33" s="17">
        <f>($B$1/1000)*((I5+1)/1.01325)*(273.15/(273.15+A33))</f>
        <v>0.82150445230036218</v>
      </c>
      <c r="J33" s="17">
        <f>($B$1/1000)*((J5+1)/1.01325)*(273.15/(273.15+A33))</f>
        <v>0.93560229289763452</v>
      </c>
      <c r="K33" s="17">
        <f>($B$1/1000)*((K5+1)/1.01325)*(273.15/(273.15+A33))</f>
        <v>1.0497001334949072</v>
      </c>
      <c r="L33" s="17">
        <f>($B$1/1000)*((L5+1)/1.01325)*(273.15/(273.15+A33))</f>
        <v>1.1637979740921798</v>
      </c>
      <c r="M33" s="17">
        <f>($B$1/1000)*((M5+1)/1.01325)*(273.15/(273.15+A33))</f>
        <v>1.2778958146894521</v>
      </c>
      <c r="N33" s="17">
        <f>($B$1/1000)*((N5+1)/1.01325)*(273.15/(273.15+A33))</f>
        <v>1.3919936552867249</v>
      </c>
      <c r="O33" s="17">
        <f>($B$1/1000)*((O5+1)/1.01325)*(273.15/(273.15+A33))</f>
        <v>1.506091495883997</v>
      </c>
      <c r="P33" s="17">
        <f>($B$1/1000)*((P5+1)/1.01325)*(273.15/(273.15+A33))</f>
        <v>1.6201893364812696</v>
      </c>
      <c r="Q33" s="17">
        <f>($B$1/1000)*((Q5+1)/1.01325)*(273.15/(273.15+A33))</f>
        <v>1.7342871770785424</v>
      </c>
      <c r="R33" s="17">
        <f>($B$1/1000)*((R5+1)/1.01325)*(273.15/(273.15+A33))</f>
        <v>1.848385017675815</v>
      </c>
      <c r="S33" s="17">
        <f>($B$1/1000)*((S5+1)/1.01325)*(273.15/(273.15+A33))</f>
        <v>1.9624828582730871</v>
      </c>
      <c r="T33" s="17">
        <f>($B$1/1000)*((T5+1)/1.01325)*(273.15/(273.15+A33))</f>
        <v>2.0765806988703601</v>
      </c>
      <c r="U33" s="17">
        <f>($B$1/1000)*((U5+1)/1.01325)*(273.15/(273.15+A33))</f>
        <v>2.1906785394676325</v>
      </c>
      <c r="V33" s="17">
        <f>($B$1/1000)*((V5+1)/1.01325)*(273.15/(273.15+A33))</f>
        <v>2.3047763800649048</v>
      </c>
      <c r="W33" s="17">
        <f>($B$1/1000)*((W5+1)/1.01325)*(273.15/(273.15+A33))</f>
        <v>2.4188742206621776</v>
      </c>
      <c r="X33" s="17">
        <f>($B$1/1000)*((X5+1)/1.01325)*(273.15/(273.15+A33))</f>
        <v>2.53297206125945</v>
      </c>
      <c r="Y33" s="17">
        <f>($B$1/1000)*((Y5+1)/1.01325)*(273.15/(273.15+A33))</f>
        <v>2.6470699018567223</v>
      </c>
      <c r="Z33" s="17">
        <f>($B$1/1000)*((Z5+1)/1.01325)*(273.15/(273.15+A33))</f>
        <v>2.7611677424539951</v>
      </c>
      <c r="AA33" s="17">
        <f>($B$1/1000)*((AA5+1)/1.01325)*(273.15/(273.15+A33))</f>
        <v>2.8752655830512674</v>
      </c>
      <c r="AB33" s="17">
        <f>($B$1/1000)*((AB5+1)/1.01325)*(273.15/(273.15+A33))</f>
        <v>2.9893634236485398</v>
      </c>
      <c r="AC33" s="17">
        <f>($B$1/1000)*((AC5+1)/1.01325)*(273.15/(273.15+A33))</f>
        <v>3.1034612642458121</v>
      </c>
      <c r="AD33" s="17">
        <f>($B$1/1000)*((AD5+1)/1.01325)*(273.15/(273.15+A33))</f>
        <v>3.2175591048430849</v>
      </c>
      <c r="AE33" s="17">
        <f>($B$1/1000)*((AE5+1)/1.01325)*(273.15/(273.15+A33))</f>
        <v>3.3316569454403577</v>
      </c>
      <c r="AF33" s="17">
        <f>($B$1/1000)*((AF5+1)/1.01325)*(273.15/(273.15+A33))</f>
        <v>3.4457547860376301</v>
      </c>
      <c r="AG33" s="17">
        <f>($B$1/1000)*((AG5+1)/1.01325)*(273.15/(273.15+A33))</f>
        <v>3.5598526266349024</v>
      </c>
      <c r="AH33" s="17">
        <f>($B$1/1000)*((AH5+1)/1.01325)*(273.15/(273.15+A33))</f>
        <v>3.6739504672321752</v>
      </c>
      <c r="AI33" s="17">
        <f>($B$1/1000)*((AI5+1)/1.01325)*(273.15/(273.15+A33))</f>
        <v>3.7880483078294476</v>
      </c>
      <c r="AJ33" s="17">
        <f>($B$1/1000)*((AJ5+1)/1.01325)*(273.15/(273.15+A33))</f>
        <v>3.9021461484267204</v>
      </c>
      <c r="AK33" s="17">
        <f>($B$1/1000)*((AK5+1)/1.01325)*(273.15/(273.15+A33))</f>
        <v>4.0162439890239927</v>
      </c>
      <c r="AL33" s="17">
        <f>($B$1/1000)*((AL5+1)/1.01325)*(273.15/(273.15+A33))</f>
        <v>4.1303418296212655</v>
      </c>
      <c r="AM33" s="17">
        <f>($B$1/1000)*((AM5+1)/1.01325)*(273.15/(273.15+A33))</f>
        <v>4.2444396702185374</v>
      </c>
      <c r="AN33" s="17">
        <f>($B$1/1000)*((AN5+1)/1.01325)*(273.15/(273.15+A33))</f>
        <v>4.3585375108158102</v>
      </c>
      <c r="AO33" s="17">
        <f>($B$1/1000)*((AO5+1)/1.01325)*(273.15/(273.15+A33))</f>
        <v>4.472635351413083</v>
      </c>
      <c r="AP33" s="17">
        <f>($B$1/1000)*((AP5+1)/1.01325)*(273.15/(273.15+A33))</f>
        <v>4.5867331920103549</v>
      </c>
      <c r="AQ33" s="17">
        <f>($B$1/1000)*((AQ5+1)/1.01325)*(273.15/(273.15+A33))</f>
        <v>4.7008310326076277</v>
      </c>
      <c r="AR33" s="17">
        <f>($B$1/1000)*((AR5+1)/1.01325)*(273.15/(273.15+A33))</f>
        <v>4.8149288732049005</v>
      </c>
      <c r="AS33" s="17">
        <f>($B$1/1000)*((AS5+1)/1.01325)*(273.15/(273.15+A33))</f>
        <v>4.9290267138021724</v>
      </c>
      <c r="AT33" s="17">
        <f>($B$1/1000)*((AT5+1)/1.01325)*(273.15/(273.15+A33))</f>
        <v>5.0431245543994452</v>
      </c>
      <c r="AU33" s="17">
        <f>($B$1/1000)*((AU5+1)/1.01325)*(273.15/(273.15+A33))</f>
        <v>5.157222394996718</v>
      </c>
      <c r="AV33" s="17">
        <f>($B$1/1000)*((AV5+1)/1.01325)*(273.15/(273.15+A33))</f>
        <v>5.2713202355939899</v>
      </c>
      <c r="AW33" s="17">
        <f>($B$1/1000)*((AW5+1)/1.01325)*(273.15/(273.15+A33))</f>
        <v>5.3854180761912627</v>
      </c>
      <c r="AX33" s="17">
        <f>($B$1/1000)*((AX5+1)/1.01325)*(273.15/(273.15+A33))</f>
        <v>5.4995159167885355</v>
      </c>
      <c r="AY33" s="17">
        <f>($B$1/1000)*((AY5+1)/1.01325)*(273.15/(273.15+A33))</f>
        <v>5.6136137573858083</v>
      </c>
      <c r="AZ33" s="17">
        <f>($B$1/1000)*((AZ5+1)/1.01325)*(273.15/(273.15+A33))</f>
        <v>5.7277115979830802</v>
      </c>
      <c r="BA33" s="17">
        <f>($B$1/1000)*((BA5+1)/1.01325)*(273.15/(273.15+A33))</f>
        <v>5.841809438580353</v>
      </c>
      <c r="BB33" s="17">
        <f>($B$1/1000)*((BB5+1)/1.01325)*(273.15/(273.15+A33))</f>
        <v>5.9559072791776266</v>
      </c>
      <c r="BC33" s="17">
        <f>($B$1/1000)*((BC5+1)/1.01325)*(273.15/(273.15+A33))</f>
        <v>6.0700051197748977</v>
      </c>
      <c r="BD33" s="17">
        <f>($B$1/1000)*((BD5+1)/1.01325)*(273.15/(273.15+A33))</f>
        <v>6.1841029603721696</v>
      </c>
      <c r="BE33" s="17">
        <f>($B$1/1000)*((BE5+1)/1.01325)*(273.15/(273.15+A33))</f>
        <v>6.2982008009694432</v>
      </c>
      <c r="BF33" s="17">
        <f>($B$1/1000)*((BF5+1)/1.01325)*(273.15/(273.15+A33))</f>
        <v>6.4122986415667151</v>
      </c>
      <c r="BG33" s="17">
        <f>($B$1/1000)*((BG5+1)/1.01325)*(273.15/(273.15+A33))</f>
        <v>6.5263964821639879</v>
      </c>
      <c r="BH33" s="17">
        <f>($B$1/1000)*((BH5+1)/1.01325)*(273.15/(273.15+A33))</f>
        <v>6.6404943227612607</v>
      </c>
      <c r="BI33" s="17">
        <f>($B$1/1000)*((BI5+1)/1.01325)*(273.15/(273.15+A33))</f>
        <v>6.7545921633585335</v>
      </c>
      <c r="BJ33" s="17">
        <f>($B$1/1000)*((BJ5+1)/1.01325)*(273.15/(273.15+A33))</f>
        <v>6.8686900039558054</v>
      </c>
    </row>
    <row r="34" spans="1:62" ht="18.75">
      <c r="A34" s="1">
        <v>36</v>
      </c>
      <c r="B34" s="17">
        <f>($B$1/1000)*((B5+1)/1.01325)*(273.15/(273.15+A34))</f>
        <v>2.2671940313409189E-2</v>
      </c>
      <c r="C34" s="17">
        <f>($B$1/1000)*((C5+1)/1.01325)*(273.15/(273.15+A34))</f>
        <v>0.13603164188045513</v>
      </c>
      <c r="D34" s="17">
        <f>($B$1/1000)*((D5+1)/1.01325)*(273.15/(273.15+A34))</f>
        <v>0.24939134344750111</v>
      </c>
      <c r="E34" s="17">
        <f>($B$1/1000)*((E5+1)/1.01325)*(273.15/(273.15+A34))</f>
        <v>0.36275104501454702</v>
      </c>
      <c r="F34" s="17">
        <f>($B$1/1000)*((F5+1)/1.01325)*(273.15/(273.15+A34))</f>
        <v>0.47611074658159291</v>
      </c>
      <c r="G34" s="17">
        <f>($B$1/1000)*((G5+1)/1.01325)*(273.15/(273.15+A34))</f>
        <v>0.58947044814863903</v>
      </c>
      <c r="H34" s="17">
        <f>($B$1/1000)*((H5+1)/1.01325)*(273.15/(273.15+A34))</f>
        <v>0.70283014971568492</v>
      </c>
      <c r="I34" s="17">
        <f>($B$1/1000)*((I5+1)/1.01325)*(273.15/(273.15+A34))</f>
        <v>0.81618985128273092</v>
      </c>
      <c r="J34" s="17">
        <f>($B$1/1000)*((J5+1)/1.01325)*(273.15/(273.15+A34))</f>
        <v>0.92954955284977669</v>
      </c>
      <c r="K34" s="17">
        <f>($B$1/1000)*((K5+1)/1.01325)*(273.15/(273.15+A34))</f>
        <v>1.0429092544168228</v>
      </c>
      <c r="L34" s="17">
        <f>($B$1/1000)*((L5+1)/1.01325)*(273.15/(273.15+A34))</f>
        <v>1.1562689559838688</v>
      </c>
      <c r="M34" s="17">
        <f>($B$1/1000)*((M5+1)/1.01325)*(273.15/(273.15+A34))</f>
        <v>1.2696286575509146</v>
      </c>
      <c r="N34" s="17">
        <f>($B$1/1000)*((N5+1)/1.01325)*(273.15/(273.15+A34))</f>
        <v>1.3829883591179608</v>
      </c>
      <c r="O34" s="17">
        <f>($B$1/1000)*((O5+1)/1.01325)*(273.15/(273.15+A34))</f>
        <v>1.4963480606850064</v>
      </c>
      <c r="P34" s="17">
        <f>($B$1/1000)*((P5+1)/1.01325)*(273.15/(273.15+A34))</f>
        <v>1.6097077622520524</v>
      </c>
      <c r="Q34" s="17">
        <f>($B$1/1000)*((Q5+1)/1.01325)*(273.15/(273.15+A34))</f>
        <v>1.7230674638190986</v>
      </c>
      <c r="R34" s="17">
        <f>($B$1/1000)*((R5+1)/1.01325)*(273.15/(273.15+A34))</f>
        <v>1.8364271653861446</v>
      </c>
      <c r="S34" s="17">
        <f>($B$1/1000)*((S5+1)/1.01325)*(273.15/(273.15+A34))</f>
        <v>1.9497868669531901</v>
      </c>
      <c r="T34" s="17">
        <f>($B$1/1000)*((T5+1)/1.01325)*(273.15/(273.15+A34))</f>
        <v>2.0631465685202364</v>
      </c>
      <c r="U34" s="17">
        <f>($B$1/1000)*((U5+1)/1.01325)*(273.15/(273.15+A34))</f>
        <v>2.1765062700872821</v>
      </c>
      <c r="V34" s="17">
        <f>($B$1/1000)*((V5+1)/1.01325)*(273.15/(273.15+A34))</f>
        <v>2.2898659716543284</v>
      </c>
      <c r="W34" s="17">
        <f>($B$1/1000)*((W5+1)/1.01325)*(273.15/(273.15+A34))</f>
        <v>2.4032256732213741</v>
      </c>
      <c r="X34" s="17">
        <f>($B$1/1000)*((X5+1)/1.01325)*(273.15/(273.15+A34))</f>
        <v>2.5165853747884204</v>
      </c>
      <c r="Y34" s="17">
        <f>($B$1/1000)*((Y5+1)/1.01325)*(273.15/(273.15+A34))</f>
        <v>2.6299450763554661</v>
      </c>
      <c r="Z34" s="17">
        <f>($B$1/1000)*((Z5+1)/1.01325)*(273.15/(273.15+A34))</f>
        <v>2.7433047779225119</v>
      </c>
      <c r="AA34" s="17">
        <f>($B$1/1000)*((AA5+1)/1.01325)*(273.15/(273.15+A34))</f>
        <v>2.8566644794895582</v>
      </c>
      <c r="AB34" s="17">
        <f>($B$1/1000)*((AB5+1)/1.01325)*(273.15/(273.15+A34))</f>
        <v>2.9700241810566035</v>
      </c>
      <c r="AC34" s="17">
        <f>($B$1/1000)*((AC5+1)/1.01325)*(273.15/(273.15+A34))</f>
        <v>3.0833838826236497</v>
      </c>
      <c r="AD34" s="17">
        <f>($B$1/1000)*((AD5+1)/1.01325)*(273.15/(273.15+A34))</f>
        <v>3.1967435841906959</v>
      </c>
      <c r="AE34" s="17">
        <f>($B$1/1000)*((AE5+1)/1.01325)*(273.15/(273.15+A34))</f>
        <v>3.3101032857577417</v>
      </c>
      <c r="AF34" s="17">
        <f>($B$1/1000)*((AF5+1)/1.01325)*(273.15/(273.15+A34))</f>
        <v>3.4234629873247879</v>
      </c>
      <c r="AG34" s="17">
        <f>($B$1/1000)*((AG5+1)/1.01325)*(273.15/(273.15+A34))</f>
        <v>3.5368226888918337</v>
      </c>
      <c r="AH34" s="17">
        <f>($B$1/1000)*((AH5+1)/1.01325)*(273.15/(273.15+A34))</f>
        <v>3.6501823904588795</v>
      </c>
      <c r="AI34" s="17">
        <f>($B$1/1000)*((AI5+1)/1.01325)*(273.15/(273.15+A34))</f>
        <v>3.7635420920259257</v>
      </c>
      <c r="AJ34" s="17">
        <f>($B$1/1000)*((AJ5+1)/1.01325)*(273.15/(273.15+A34))</f>
        <v>3.8769017935929715</v>
      </c>
      <c r="AK34" s="17">
        <f>($B$1/1000)*((AK5+1)/1.01325)*(273.15/(273.15+A34))</f>
        <v>3.9902614951600177</v>
      </c>
      <c r="AL34" s="17">
        <f>($B$1/1000)*((AL5+1)/1.01325)*(273.15/(273.15+A34))</f>
        <v>4.1036211967270635</v>
      </c>
      <c r="AM34" s="17">
        <f>($B$1/1000)*((AM5+1)/1.01325)*(273.15/(273.15+A34))</f>
        <v>4.2169808982941097</v>
      </c>
      <c r="AN34" s="17">
        <f>($B$1/1000)*((AN5+1)/1.01325)*(273.15/(273.15+A34))</f>
        <v>4.330340599861155</v>
      </c>
      <c r="AO34" s="17">
        <f>($B$1/1000)*((AO5+1)/1.01325)*(273.15/(273.15+A34))</f>
        <v>4.4437003014282013</v>
      </c>
      <c r="AP34" s="17">
        <f>($B$1/1000)*((AP5+1)/1.01325)*(273.15/(273.15+A34))</f>
        <v>4.5570600029952475</v>
      </c>
      <c r="AQ34" s="17">
        <f>($B$1/1000)*((AQ5+1)/1.01325)*(273.15/(273.15+A34))</f>
        <v>4.6704197045622928</v>
      </c>
      <c r="AR34" s="17">
        <f>($B$1/1000)*((AR5+1)/1.01325)*(273.15/(273.15+A34))</f>
        <v>4.7837794061293391</v>
      </c>
      <c r="AS34" s="17">
        <f>($B$1/1000)*((AS5+1)/1.01325)*(273.15/(273.15+A34))</f>
        <v>4.8971391076963853</v>
      </c>
      <c r="AT34" s="17">
        <f>($B$1/1000)*((AT5+1)/1.01325)*(273.15/(273.15+A34))</f>
        <v>5.0104988092634306</v>
      </c>
      <c r="AU34" s="17">
        <f>($B$1/1000)*((AU5+1)/1.01325)*(273.15/(273.15+A34))</f>
        <v>5.1238585108304768</v>
      </c>
      <c r="AV34" s="17">
        <f>($B$1/1000)*((AV5+1)/1.01325)*(273.15/(273.15+A34))</f>
        <v>5.2372182123975231</v>
      </c>
      <c r="AW34" s="17">
        <f>($B$1/1000)*((AW5+1)/1.01325)*(273.15/(273.15+A34))</f>
        <v>5.3505779139645693</v>
      </c>
      <c r="AX34" s="17">
        <f>($B$1/1000)*((AX5+1)/1.01325)*(273.15/(273.15+A34))</f>
        <v>5.4639376155316146</v>
      </c>
      <c r="AY34" s="17">
        <f>($B$1/1000)*((AY5+1)/1.01325)*(273.15/(273.15+A34))</f>
        <v>5.5772973170986608</v>
      </c>
      <c r="AZ34" s="17">
        <f>($B$1/1000)*((AZ5+1)/1.01325)*(273.15/(273.15+A34))</f>
        <v>5.6906570186657071</v>
      </c>
      <c r="BA34" s="17">
        <f>($B$1/1000)*((BA5+1)/1.01325)*(273.15/(273.15+A34))</f>
        <v>5.8040167202327524</v>
      </c>
      <c r="BB34" s="17">
        <f>($B$1/1000)*((BB5+1)/1.01325)*(273.15/(273.15+A34))</f>
        <v>5.9173764217997995</v>
      </c>
      <c r="BC34" s="17">
        <f>($B$1/1000)*((BC5+1)/1.01325)*(273.15/(273.15+A34))</f>
        <v>6.0307361233668448</v>
      </c>
      <c r="BD34" s="17">
        <f>($B$1/1000)*((BD5+1)/1.01325)*(273.15/(273.15+A34))</f>
        <v>6.1440958249338893</v>
      </c>
      <c r="BE34" s="17">
        <f>($B$1/1000)*((BE5+1)/1.01325)*(273.15/(273.15+A34))</f>
        <v>6.2574555265009364</v>
      </c>
      <c r="BF34" s="17">
        <f>($B$1/1000)*((BF5+1)/1.01325)*(273.15/(273.15+A34))</f>
        <v>6.3708152280679826</v>
      </c>
      <c r="BG34" s="17">
        <f>($B$1/1000)*((BG5+1)/1.01325)*(273.15/(273.15+A34))</f>
        <v>6.484174929635028</v>
      </c>
      <c r="BH34" s="17">
        <f>($B$1/1000)*((BH5+1)/1.01325)*(273.15/(273.15+A34))</f>
        <v>6.5975346312020742</v>
      </c>
      <c r="BI34" s="17">
        <f>($B$1/1000)*((BI5+1)/1.01325)*(273.15/(273.15+A34))</f>
        <v>6.7108943327691213</v>
      </c>
      <c r="BJ34" s="17">
        <f>($B$1/1000)*((BJ5+1)/1.01325)*(273.15/(273.15+A34))</f>
        <v>6.8242540343361657</v>
      </c>
    </row>
    <row r="35" spans="1:62" ht="18.75">
      <c r="A35" s="3">
        <v>38</v>
      </c>
      <c r="B35" s="17">
        <f>($B$1/1000)*((B5+1)/1.01325)*(273.15/(273.15+A35))</f>
        <v>2.2526210341926568E-2</v>
      </c>
      <c r="C35" s="17">
        <f>($B$1/1000)*((C5+1)/1.01325)*(273.15/(273.15+A35))</f>
        <v>0.1351572620515594</v>
      </c>
      <c r="D35" s="17">
        <f>($B$1/1000)*((D5+1)/1.01325)*(273.15/(273.15+A35))</f>
        <v>0.24778831376119223</v>
      </c>
      <c r="E35" s="17">
        <f>($B$1/1000)*((E5+1)/1.01325)*(273.15/(273.15+A35))</f>
        <v>0.36041936547082509</v>
      </c>
      <c r="F35" s="17">
        <f>($B$1/1000)*((F5+1)/1.01325)*(273.15/(273.15+A35))</f>
        <v>0.47305041718045787</v>
      </c>
      <c r="G35" s="17">
        <f>($B$1/1000)*((G5+1)/1.01325)*(273.15/(273.15+A35))</f>
        <v>0.58568146889009076</v>
      </c>
      <c r="H35" s="17">
        <f>($B$1/1000)*((H5+1)/1.01325)*(273.15/(273.15+A35))</f>
        <v>0.6983125205997236</v>
      </c>
      <c r="I35" s="17">
        <f>($B$1/1000)*((I5+1)/1.01325)*(273.15/(273.15+A35))</f>
        <v>0.81094357230935643</v>
      </c>
      <c r="J35" s="17">
        <f>($B$1/1000)*((J5+1)/1.01325)*(273.15/(273.15+A35))</f>
        <v>0.92357462401898915</v>
      </c>
      <c r="K35" s="17">
        <f>($B$1/1000)*((K5+1)/1.01325)*(273.15/(273.15+A35))</f>
        <v>1.0362056757286222</v>
      </c>
      <c r="L35" s="17">
        <f>($B$1/1000)*((L5+1)/1.01325)*(273.15/(273.15+A35))</f>
        <v>1.1488367274382549</v>
      </c>
      <c r="M35" s="17">
        <f>($B$1/1000)*((M5+1)/1.01325)*(273.15/(273.15+A35))</f>
        <v>1.2614677791478877</v>
      </c>
      <c r="N35" s="17">
        <f>($B$1/1000)*((N5+1)/1.01325)*(273.15/(273.15+A35))</f>
        <v>1.3740988308575206</v>
      </c>
      <c r="O35" s="17">
        <f>($B$1/1000)*((O5+1)/1.01325)*(273.15/(273.15+A35))</f>
        <v>1.4867298825671533</v>
      </c>
      <c r="P35" s="17">
        <f>($B$1/1000)*((P5+1)/1.01325)*(273.15/(273.15+A35))</f>
        <v>1.5993609342767863</v>
      </c>
      <c r="Q35" s="17">
        <f>($B$1/1000)*((Q5+1)/1.01325)*(273.15/(273.15+A35))</f>
        <v>1.7119919859864192</v>
      </c>
      <c r="R35" s="17">
        <f>($B$1/1000)*((R5+1)/1.01325)*(273.15/(273.15+A35))</f>
        <v>1.8246230376960519</v>
      </c>
      <c r="S35" s="17">
        <f>($B$1/1000)*((S5+1)/1.01325)*(273.15/(273.15+A35))</f>
        <v>1.9372540894056844</v>
      </c>
      <c r="T35" s="17">
        <f>($B$1/1000)*((T5+1)/1.01325)*(273.15/(273.15+A35))</f>
        <v>2.0498851411153178</v>
      </c>
      <c r="U35" s="17">
        <f>($B$1/1000)*((U5+1)/1.01325)*(273.15/(273.15+A35))</f>
        <v>2.1625161928249503</v>
      </c>
      <c r="V35" s="17">
        <f>($B$1/1000)*((V5+1)/1.01325)*(273.15/(273.15+A35))</f>
        <v>2.2751472445345833</v>
      </c>
      <c r="W35" s="17">
        <f>($B$1/1000)*((W5+1)/1.01325)*(273.15/(273.15+A35))</f>
        <v>2.3877782962442162</v>
      </c>
      <c r="X35" s="17">
        <f>($B$1/1000)*((X5+1)/1.01325)*(273.15/(273.15+A35))</f>
        <v>2.5004093479538492</v>
      </c>
      <c r="Y35" s="17">
        <f>($B$1/1000)*((Y5+1)/1.01325)*(273.15/(273.15+A35))</f>
        <v>2.6130403996634817</v>
      </c>
      <c r="Z35" s="17">
        <f>($B$1/1000)*((Z5+1)/1.01325)*(273.15/(273.15+A35))</f>
        <v>2.7256714513731146</v>
      </c>
      <c r="AA35" s="17">
        <f>($B$1/1000)*((AA5+1)/1.01325)*(273.15/(273.15+A35))</f>
        <v>2.8383025030827476</v>
      </c>
      <c r="AB35" s="17">
        <f>($B$1/1000)*((AB5+1)/1.01325)*(273.15/(273.15+A35))</f>
        <v>2.9509335547923801</v>
      </c>
      <c r="AC35" s="17">
        <f>($B$1/1000)*((AC5+1)/1.01325)*(273.15/(273.15+A35))</f>
        <v>3.0635646065020126</v>
      </c>
      <c r="AD35" s="17">
        <f>($B$1/1000)*((AD5+1)/1.01325)*(273.15/(273.15+A35))</f>
        <v>3.176195658211646</v>
      </c>
      <c r="AE35" s="17">
        <f>($B$1/1000)*((AE5+1)/1.01325)*(273.15/(273.15+A35))</f>
        <v>3.2888267099212789</v>
      </c>
      <c r="AF35" s="17">
        <f>($B$1/1000)*((AF5+1)/1.01325)*(273.15/(273.15+A35))</f>
        <v>3.4014577616309118</v>
      </c>
      <c r="AG35" s="17">
        <f>($B$1/1000)*((AG5+1)/1.01325)*(273.15/(273.15+A35))</f>
        <v>3.5140888133405443</v>
      </c>
      <c r="AH35" s="17">
        <f>($B$1/1000)*((AH5+1)/1.01325)*(273.15/(273.15+A35))</f>
        <v>3.6267198650501773</v>
      </c>
      <c r="AI35" s="17">
        <f>($B$1/1000)*((AI5+1)/1.01325)*(273.15/(273.15+A35))</f>
        <v>3.7393509167598102</v>
      </c>
      <c r="AJ35" s="17">
        <f>($B$1/1000)*((AJ5+1)/1.01325)*(273.15/(273.15+A35))</f>
        <v>3.8519819684694432</v>
      </c>
      <c r="AK35" s="17">
        <f>($B$1/1000)*((AK5+1)/1.01325)*(273.15/(273.15+A35))</f>
        <v>3.9646130201790757</v>
      </c>
      <c r="AL35" s="17">
        <f>($B$1/1000)*((AL5+1)/1.01325)*(273.15/(273.15+A35))</f>
        <v>4.0772440718887086</v>
      </c>
      <c r="AM35" s="17">
        <f>($B$1/1000)*((AM5+1)/1.01325)*(273.15/(273.15+A35))</f>
        <v>4.1898751235983411</v>
      </c>
      <c r="AN35" s="17">
        <f>($B$1/1000)*((AN5+1)/1.01325)*(273.15/(273.15+A35))</f>
        <v>4.3025061753079745</v>
      </c>
      <c r="AO35" s="17">
        <f>($B$1/1000)*((AO5+1)/1.01325)*(273.15/(273.15+A35))</f>
        <v>4.415137227017607</v>
      </c>
      <c r="AP35" s="17">
        <f>($B$1/1000)*((AP5+1)/1.01325)*(273.15/(273.15+A35))</f>
        <v>4.5277682787272404</v>
      </c>
      <c r="AQ35" s="17">
        <f>($B$1/1000)*((AQ5+1)/1.01325)*(273.15/(273.15+A35))</f>
        <v>4.6403993304368729</v>
      </c>
      <c r="AR35" s="17">
        <f>($B$1/1000)*((AR5+1)/1.01325)*(273.15/(273.15+A35))</f>
        <v>4.7530303821465054</v>
      </c>
      <c r="AS35" s="17">
        <f>($B$1/1000)*((AS5+1)/1.01325)*(273.15/(273.15+A35))</f>
        <v>4.8656614338561388</v>
      </c>
      <c r="AT35" s="17">
        <f>($B$1/1000)*((AT5+1)/1.01325)*(273.15/(273.15+A35))</f>
        <v>4.9782924855657713</v>
      </c>
      <c r="AU35" s="17">
        <f>($B$1/1000)*((AU5+1)/1.01325)*(273.15/(273.15+A35))</f>
        <v>5.0909235372754038</v>
      </c>
      <c r="AV35" s="17">
        <f>($B$1/1000)*((AV5+1)/1.01325)*(273.15/(273.15+A35))</f>
        <v>5.2035545889850372</v>
      </c>
      <c r="AW35" s="17">
        <f>($B$1/1000)*((AW5+1)/1.01325)*(273.15/(273.15+A35))</f>
        <v>5.3161856406946697</v>
      </c>
      <c r="AX35" s="17">
        <f>($B$1/1000)*((AX5+1)/1.01325)*(273.15/(273.15+A35))</f>
        <v>5.4288166924043022</v>
      </c>
      <c r="AY35" s="17">
        <f>($B$1/1000)*((AY5+1)/1.01325)*(273.15/(273.15+A35))</f>
        <v>5.5414477441139356</v>
      </c>
      <c r="AZ35" s="17">
        <f>($B$1/1000)*((AZ5+1)/1.01325)*(273.15/(273.15+A35))</f>
        <v>5.6540787958235681</v>
      </c>
      <c r="BA35" s="17">
        <f>($B$1/1000)*((BA5+1)/1.01325)*(273.15/(273.15+A35))</f>
        <v>5.7667098475332015</v>
      </c>
      <c r="BB35" s="17">
        <f>($B$1/1000)*((BB5+1)/1.01325)*(273.15/(273.15+A35))</f>
        <v>5.8793408992428349</v>
      </c>
      <c r="BC35" s="17">
        <f>($B$1/1000)*((BC5+1)/1.01325)*(273.15/(273.15+A35))</f>
        <v>5.9919719509524665</v>
      </c>
      <c r="BD35" s="17">
        <f>($B$1/1000)*((BD5+1)/1.01325)*(273.15/(273.15+A35))</f>
        <v>6.104603002662099</v>
      </c>
      <c r="BE35" s="17">
        <f>($B$1/1000)*((BE5+1)/1.01325)*(273.15/(273.15+A35))</f>
        <v>6.2172340543717324</v>
      </c>
      <c r="BF35" s="17">
        <f>($B$1/1000)*((BF5+1)/1.01325)*(273.15/(273.15+A35))</f>
        <v>6.3298651060813649</v>
      </c>
      <c r="BG35" s="17">
        <f>($B$1/1000)*((BG5+1)/1.01325)*(273.15/(273.15+A35))</f>
        <v>6.4424961577909983</v>
      </c>
      <c r="BH35" s="17">
        <f>($B$1/1000)*((BH5+1)/1.01325)*(273.15/(273.15+A35))</f>
        <v>6.5551272095006308</v>
      </c>
      <c r="BI35" s="17">
        <f>($B$1/1000)*((BI5+1)/1.01325)*(273.15/(273.15+A35))</f>
        <v>6.6677582612102642</v>
      </c>
      <c r="BJ35" s="17">
        <f>($B$1/1000)*((BJ5+1)/1.01325)*(273.15/(273.15+A35))</f>
        <v>6.7803893129198967</v>
      </c>
    </row>
    <row r="36" spans="1:62" ht="18.75">
      <c r="A36" s="3">
        <v>40</v>
      </c>
      <c r="B36" s="17">
        <f>($B$1/1000)*((B5+1)/1.01325)*(273.15/(273.15+A36))</f>
        <v>2.2382341842217632E-2</v>
      </c>
      <c r="C36" s="17">
        <f>($B$1/1000)*((C5+1)/1.01325)*(273.15/(273.15+A36))</f>
        <v>0.1342940510533058</v>
      </c>
      <c r="D36" s="17">
        <f>($B$1/1000)*((D5+1)/1.01325)*(273.15/(273.15+A36))</f>
        <v>0.24620576026439395</v>
      </c>
      <c r="E36" s="17">
        <f>($B$1/1000)*((E5+1)/1.01325)*(273.15/(273.15+A36))</f>
        <v>0.35811746947548212</v>
      </c>
      <c r="F36" s="17">
        <f>($B$1/1000)*((F5+1)/1.01325)*(273.15/(273.15+A36))</f>
        <v>0.47002917868657024</v>
      </c>
      <c r="G36" s="17">
        <f>($B$1/1000)*((G5+1)/1.01325)*(273.15/(273.15+A36))</f>
        <v>0.58194088789765852</v>
      </c>
      <c r="H36" s="17">
        <f>($B$1/1000)*((H5+1)/1.01325)*(273.15/(273.15+A36))</f>
        <v>0.69385259710874669</v>
      </c>
      <c r="I36" s="17">
        <f>($B$1/1000)*((I5+1)/1.01325)*(273.15/(273.15+A36))</f>
        <v>0.80576430631983476</v>
      </c>
      <c r="J36" s="17">
        <f>($B$1/1000)*((J5+1)/1.01325)*(273.15/(273.15+A36))</f>
        <v>0.91767601553092282</v>
      </c>
      <c r="K36" s="17">
        <f>($B$1/1000)*((K5+1)/1.01325)*(273.15/(273.15+A36))</f>
        <v>1.0295877247420111</v>
      </c>
      <c r="L36" s="17">
        <f>($B$1/1000)*((L5+1)/1.01325)*(273.15/(273.15+A36))</f>
        <v>1.1414994339530993</v>
      </c>
      <c r="M36" s="17">
        <f>($B$1/1000)*((M5+1)/1.01325)*(273.15/(273.15+A36))</f>
        <v>1.2534111431641872</v>
      </c>
      <c r="N36" s="17">
        <f>($B$1/1000)*((N5+1)/1.01325)*(273.15/(273.15+A36))</f>
        <v>1.3653228523752756</v>
      </c>
      <c r="O36" s="17">
        <f>($B$1/1000)*((O5+1)/1.01325)*(273.15/(273.15+A36))</f>
        <v>1.4772345615863636</v>
      </c>
      <c r="P36" s="17">
        <f>($B$1/1000)*((P5+1)/1.01325)*(273.15/(273.15+A36))</f>
        <v>1.5891462707974517</v>
      </c>
      <c r="Q36" s="17">
        <f>($B$1/1000)*((Q5+1)/1.01325)*(273.15/(273.15+A36))</f>
        <v>1.7010579800085401</v>
      </c>
      <c r="R36" s="17">
        <f>($B$1/1000)*((R5+1)/1.01325)*(273.15/(273.15+A36))</f>
        <v>1.8129696892196283</v>
      </c>
      <c r="S36" s="17">
        <f>($B$1/1000)*((S5+1)/1.01325)*(273.15/(273.15+A36))</f>
        <v>1.924881398430716</v>
      </c>
      <c r="T36" s="17">
        <f>($B$1/1000)*((T5+1)/1.01325)*(273.15/(273.15+A36))</f>
        <v>2.0367931076418047</v>
      </c>
      <c r="U36" s="17">
        <f>($B$1/1000)*((U5+1)/1.01325)*(273.15/(273.15+A36))</f>
        <v>2.1487048168528928</v>
      </c>
      <c r="V36" s="17">
        <f>($B$1/1000)*((V5+1)/1.01325)*(273.15/(273.15+A36))</f>
        <v>2.260616526063981</v>
      </c>
      <c r="W36" s="17">
        <f>($B$1/1000)*((W5+1)/1.01325)*(273.15/(273.15+A36))</f>
        <v>2.3725282352750692</v>
      </c>
      <c r="X36" s="17">
        <f>($B$1/1000)*((X5+1)/1.01325)*(273.15/(273.15+A36))</f>
        <v>2.4844399444861573</v>
      </c>
      <c r="Y36" s="17">
        <f>($B$1/1000)*((Y5+1)/1.01325)*(273.15/(273.15+A36))</f>
        <v>2.5963516536972455</v>
      </c>
      <c r="Z36" s="17">
        <f>($B$1/1000)*((Z5+1)/1.01325)*(273.15/(273.15+A36))</f>
        <v>2.7082633629083337</v>
      </c>
      <c r="AA36" s="17">
        <f>($B$1/1000)*((AA5+1)/1.01325)*(273.15/(273.15+A36))</f>
        <v>2.8201750721194219</v>
      </c>
      <c r="AB36" s="17">
        <f>($B$1/1000)*((AB5+1)/1.01325)*(273.15/(273.15+A36))</f>
        <v>2.9320867813305096</v>
      </c>
      <c r="AC36" s="17">
        <f>($B$1/1000)*((AC5+1)/1.01325)*(273.15/(273.15+A36))</f>
        <v>3.0439984905415978</v>
      </c>
      <c r="AD36" s="17">
        <f>($B$1/1000)*((AD5+1)/1.01325)*(273.15/(273.15+A36))</f>
        <v>3.1559101997526864</v>
      </c>
      <c r="AE36" s="17">
        <f>($B$1/1000)*((AE5+1)/1.01325)*(273.15/(273.15+A36))</f>
        <v>3.2678219089637746</v>
      </c>
      <c r="AF36" s="17">
        <f>($B$1/1000)*((AF5+1)/1.01325)*(273.15/(273.15+A36))</f>
        <v>3.3797336181748627</v>
      </c>
      <c r="AG36" s="17">
        <f>($B$1/1000)*((AG5+1)/1.01325)*(273.15/(273.15+A36))</f>
        <v>3.4916453273859509</v>
      </c>
      <c r="AH36" s="17">
        <f>($B$1/1000)*((AH5+1)/1.01325)*(273.15/(273.15+A36))</f>
        <v>3.6035570365970386</v>
      </c>
      <c r="AI36" s="17">
        <f>($B$1/1000)*((AI5+1)/1.01325)*(273.15/(273.15+A36))</f>
        <v>3.7154687458081268</v>
      </c>
      <c r="AJ36" s="17">
        <f>($B$1/1000)*((AJ5+1)/1.01325)*(273.15/(273.15+A36))</f>
        <v>3.827380455019215</v>
      </c>
      <c r="AK36" s="17">
        <f>($B$1/1000)*((AK5+1)/1.01325)*(273.15/(273.15+A36))</f>
        <v>3.9392921642303032</v>
      </c>
      <c r="AL36" s="17">
        <f>($B$1/1000)*((AL5+1)/1.01325)*(273.15/(273.15+A36))</f>
        <v>4.0512038734413913</v>
      </c>
      <c r="AM36" s="17">
        <f>($B$1/1000)*((AM5+1)/1.01325)*(273.15/(273.15+A36))</f>
        <v>4.1631155826524795</v>
      </c>
      <c r="AN36" s="17">
        <f>($B$1/1000)*((AN5+1)/1.01325)*(273.15/(273.15+A36))</f>
        <v>4.2750272918635677</v>
      </c>
      <c r="AO36" s="17">
        <f>($B$1/1000)*((AO5+1)/1.01325)*(273.15/(273.15+A36))</f>
        <v>4.3869390010746558</v>
      </c>
      <c r="AP36" s="17">
        <f>($B$1/1000)*((AP5+1)/1.01325)*(273.15/(273.15+A36))</f>
        <v>4.498850710285744</v>
      </c>
      <c r="AQ36" s="17">
        <f>($B$1/1000)*((AQ5+1)/1.01325)*(273.15/(273.15+A36))</f>
        <v>4.6107624194968322</v>
      </c>
      <c r="AR36" s="17">
        <f>($B$1/1000)*((AR5+1)/1.01325)*(273.15/(273.15+A36))</f>
        <v>4.7226741287079204</v>
      </c>
      <c r="AS36" s="17">
        <f>($B$1/1000)*((AS5+1)/1.01325)*(273.15/(273.15+A36))</f>
        <v>4.8345858379190085</v>
      </c>
      <c r="AT36" s="17">
        <f>($B$1/1000)*((AT5+1)/1.01325)*(273.15/(273.15+A36))</f>
        <v>4.9464975471300967</v>
      </c>
      <c r="AU36" s="17">
        <f>($B$1/1000)*((AU5+1)/1.01325)*(273.15/(273.15+A36))</f>
        <v>5.0584092563411849</v>
      </c>
      <c r="AV36" s="17">
        <f>($B$1/1000)*((AV5+1)/1.01325)*(273.15/(273.15+A36))</f>
        <v>5.1703209655522731</v>
      </c>
      <c r="AW36" s="17">
        <f>($B$1/1000)*((AW5+1)/1.01325)*(273.15/(273.15+A36))</f>
        <v>5.2822326747633612</v>
      </c>
      <c r="AX36" s="17">
        <f>($B$1/1000)*((AX5+1)/1.01325)*(273.15/(273.15+A36))</f>
        <v>5.3941443839744494</v>
      </c>
      <c r="AY36" s="17">
        <f>($B$1/1000)*((AY5+1)/1.01325)*(273.15/(273.15+A36))</f>
        <v>5.5060560931855376</v>
      </c>
      <c r="AZ36" s="17">
        <f>($B$1/1000)*((AZ5+1)/1.01325)*(273.15/(273.15+A36))</f>
        <v>5.6179678023966257</v>
      </c>
      <c r="BA36" s="17">
        <f>($B$1/1000)*((BA5+1)/1.01325)*(273.15/(273.15+A36))</f>
        <v>5.7298795116077139</v>
      </c>
      <c r="BB36" s="17">
        <f>($B$1/1000)*((BB5+1)/1.01325)*(273.15/(273.15+A36))</f>
        <v>5.841791220818803</v>
      </c>
      <c r="BC36" s="17">
        <f>($B$1/1000)*((BC5+1)/1.01325)*(273.15/(273.15+A36))</f>
        <v>5.9537029300298903</v>
      </c>
      <c r="BD36" s="17">
        <f>($B$1/1000)*((BD5+1)/1.01325)*(273.15/(273.15+A36))</f>
        <v>6.0656146392409775</v>
      </c>
      <c r="BE36" s="17">
        <f>($B$1/1000)*((BE5+1)/1.01325)*(273.15/(273.15+A36))</f>
        <v>6.1775263484520666</v>
      </c>
      <c r="BF36" s="17">
        <f>($B$1/1000)*((BF5+1)/1.01325)*(273.15/(273.15+A36))</f>
        <v>6.2894380576631548</v>
      </c>
      <c r="BG36" s="17">
        <f>($B$1/1000)*((BG5+1)/1.01325)*(273.15/(273.15+A36))</f>
        <v>6.401349766874243</v>
      </c>
      <c r="BH36" s="17">
        <f>($B$1/1000)*((BH5+1)/1.01325)*(273.15/(273.15+A36))</f>
        <v>6.5132614760853311</v>
      </c>
      <c r="BI36" s="17">
        <f>($B$1/1000)*((BI5+1)/1.01325)*(273.15/(273.15+A36))</f>
        <v>6.6251731852964202</v>
      </c>
      <c r="BJ36" s="17">
        <f>($B$1/1000)*((BJ5+1)/1.01325)*(273.15/(273.15+A36))</f>
        <v>6.7370848945075075</v>
      </c>
    </row>
    <row r="37" spans="1:62" ht="18.75">
      <c r="A37" s="3">
        <v>42</v>
      </c>
      <c r="B37" s="17">
        <f>($B$1/1000)*((B5+1)/1.01325)*(273.15/(273.15+A37))</f>
        <v>2.2240299374553234E-2</v>
      </c>
      <c r="C37" s="17">
        <f>($B$1/1000)*((C5+1)/1.01325)*(273.15/(273.15+A37))</f>
        <v>0.13344179624731939</v>
      </c>
      <c r="D37" s="17">
        <f>($B$1/1000)*((D5+1)/1.01325)*(273.15/(273.15+A37))</f>
        <v>0.24464329312008556</v>
      </c>
      <c r="E37" s="17">
        <f>($B$1/1000)*((E5+1)/1.01325)*(273.15/(273.15+A37))</f>
        <v>0.35584478999285174</v>
      </c>
      <c r="F37" s="17">
        <f>($B$1/1000)*((F5+1)/1.01325)*(273.15/(273.15+A37))</f>
        <v>0.46704628686561783</v>
      </c>
      <c r="G37" s="17">
        <f>($B$1/1000)*((G5+1)/1.01325)*(273.15/(273.15+A37))</f>
        <v>0.57824778373838415</v>
      </c>
      <c r="H37" s="17">
        <f>($B$1/1000)*((H5+1)/1.01325)*(273.15/(273.15+A37))</f>
        <v>0.68944928061115029</v>
      </c>
      <c r="I37" s="17">
        <f>($B$1/1000)*((I5+1)/1.01325)*(273.15/(273.15+A37))</f>
        <v>0.80065077748391644</v>
      </c>
      <c r="J37" s="17">
        <f>($B$1/1000)*((J5+1)/1.01325)*(273.15/(273.15+A37))</f>
        <v>0.91185227435668248</v>
      </c>
      <c r="K37" s="17">
        <f>($B$1/1000)*((K5+1)/1.01325)*(273.15/(273.15+A37))</f>
        <v>1.0230537712294487</v>
      </c>
      <c r="L37" s="17">
        <f>($B$1/1000)*((L5+1)/1.01325)*(273.15/(273.15+A37))</f>
        <v>1.1342552681022149</v>
      </c>
      <c r="M37" s="17">
        <f>($B$1/1000)*((M5+1)/1.01325)*(273.15/(273.15+A37))</f>
        <v>1.245456764974981</v>
      </c>
      <c r="N37" s="17">
        <f>($B$1/1000)*((N5+1)/1.01325)*(273.15/(273.15+A37))</f>
        <v>1.3566582618477474</v>
      </c>
      <c r="O37" s="17">
        <f>($B$1/1000)*((O5+1)/1.01325)*(273.15/(273.15+A37))</f>
        <v>1.4678597587205133</v>
      </c>
      <c r="P37" s="17">
        <f>($B$1/1000)*((P5+1)/1.01325)*(273.15/(273.15+A37))</f>
        <v>1.5790612555932795</v>
      </c>
      <c r="Q37" s="17">
        <f>($B$1/1000)*((Q5+1)/1.01325)*(273.15/(273.15+A37))</f>
        <v>1.6902627524660458</v>
      </c>
      <c r="R37" s="17">
        <f>($B$1/1000)*((R5+1)/1.01325)*(273.15/(273.15+A37))</f>
        <v>1.801464249338812</v>
      </c>
      <c r="S37" s="17">
        <f>($B$1/1000)*((S5+1)/1.01325)*(273.15/(273.15+A37))</f>
        <v>1.9126657462115777</v>
      </c>
      <c r="T37" s="17">
        <f>($B$1/1000)*((T5+1)/1.01325)*(273.15/(273.15+A37))</f>
        <v>2.0238672430843443</v>
      </c>
      <c r="U37" s="17">
        <f>($B$1/1000)*((U5+1)/1.01325)*(273.15/(273.15+A37))</f>
        <v>2.1350687399571102</v>
      </c>
      <c r="V37" s="17">
        <f>($B$1/1000)*((V5+1)/1.01325)*(273.15/(273.15+A37))</f>
        <v>2.2462702368298766</v>
      </c>
      <c r="W37" s="17">
        <f>($B$1/1000)*((W5+1)/1.01325)*(273.15/(273.15+A37))</f>
        <v>2.357471733702643</v>
      </c>
      <c r="X37" s="17">
        <f>($B$1/1000)*((X5+1)/1.01325)*(273.15/(273.15+A37))</f>
        <v>2.4686732305754089</v>
      </c>
      <c r="Y37" s="17">
        <f>($B$1/1000)*((Y5+1)/1.01325)*(273.15/(273.15+A37))</f>
        <v>2.5798747274481753</v>
      </c>
      <c r="Z37" s="17">
        <f>($B$1/1000)*((Z5+1)/1.01325)*(273.15/(273.15+A37))</f>
        <v>2.6910762243209412</v>
      </c>
      <c r="AA37" s="17">
        <f>($B$1/1000)*((AA5+1)/1.01325)*(273.15/(273.15+A37))</f>
        <v>2.8022777211937075</v>
      </c>
      <c r="AB37" s="17">
        <f>($B$1/1000)*((AB5+1)/1.01325)*(273.15/(273.15+A37))</f>
        <v>2.913479218066473</v>
      </c>
      <c r="AC37" s="17">
        <f>($B$1/1000)*((AC5+1)/1.01325)*(273.15/(273.15+A37))</f>
        <v>3.0246807149392394</v>
      </c>
      <c r="AD37" s="17">
        <f>($B$1/1000)*((AD5+1)/1.01325)*(273.15/(273.15+A37))</f>
        <v>3.1358822118120058</v>
      </c>
      <c r="AE37" s="17">
        <f>($B$1/1000)*((AE5+1)/1.01325)*(273.15/(273.15+A37))</f>
        <v>3.2470837086847721</v>
      </c>
      <c r="AF37" s="17">
        <f>($B$1/1000)*((AF5+1)/1.01325)*(273.15/(273.15+A37))</f>
        <v>3.3582852055575381</v>
      </c>
      <c r="AG37" s="17">
        <f>($B$1/1000)*((AG5+1)/1.01325)*(273.15/(273.15+A37))</f>
        <v>3.4694867024303044</v>
      </c>
      <c r="AH37" s="17">
        <f>($B$1/1000)*((AH5+1)/1.01325)*(273.15/(273.15+A37))</f>
        <v>3.5806881993030704</v>
      </c>
      <c r="AI37" s="17">
        <f>($B$1/1000)*((AI5+1)/1.01325)*(273.15/(273.15+A37))</f>
        <v>3.6918896961758367</v>
      </c>
      <c r="AJ37" s="17">
        <f>($B$1/1000)*((AJ5+1)/1.01325)*(273.15/(273.15+A37))</f>
        <v>3.8030911930486027</v>
      </c>
      <c r="AK37" s="17">
        <f>($B$1/1000)*((AK5+1)/1.01325)*(273.15/(273.15+A37))</f>
        <v>3.914292689921369</v>
      </c>
      <c r="AL37" s="17">
        <f>($B$1/1000)*((AL5+1)/1.01325)*(273.15/(273.15+A37))</f>
        <v>4.025494186794135</v>
      </c>
      <c r="AM37" s="17">
        <f>($B$1/1000)*((AM5+1)/1.01325)*(273.15/(273.15+A37))</f>
        <v>4.1366956836669013</v>
      </c>
      <c r="AN37" s="17">
        <f>($B$1/1000)*((AN5+1)/1.01325)*(273.15/(273.15+A37))</f>
        <v>4.2478971805396677</v>
      </c>
      <c r="AO37" s="17">
        <f>($B$1/1000)*((AO5+1)/1.01325)*(273.15/(273.15+A37))</f>
        <v>4.3590986774124341</v>
      </c>
      <c r="AP37" s="17">
        <f>($B$1/1000)*((AP5+1)/1.01325)*(273.15/(273.15+A37))</f>
        <v>4.4703001742851995</v>
      </c>
      <c r="AQ37" s="17">
        <f>($B$1/1000)*((AQ5+1)/1.01325)*(273.15/(273.15+A37))</f>
        <v>4.5815016711579659</v>
      </c>
      <c r="AR37" s="17">
        <f>($B$1/1000)*((AR5+1)/1.01325)*(273.15/(273.15+A37))</f>
        <v>4.6927031680307323</v>
      </c>
      <c r="AS37" s="17">
        <f>($B$1/1000)*((AS5+1)/1.01325)*(273.15/(273.15+A37))</f>
        <v>4.8039046649034987</v>
      </c>
      <c r="AT37" s="17">
        <f>($B$1/1000)*((AT5+1)/1.01325)*(273.15/(273.15+A37))</f>
        <v>4.9151061617762641</v>
      </c>
      <c r="AU37" s="17">
        <f>($B$1/1000)*((AU5+1)/1.01325)*(273.15/(273.15+A37))</f>
        <v>5.0263076586490305</v>
      </c>
      <c r="AV37" s="17">
        <f>($B$1/1000)*((AV5+1)/1.01325)*(273.15/(273.15+A37))</f>
        <v>5.1375091555217969</v>
      </c>
      <c r="AW37" s="17">
        <f>($B$1/1000)*((AW5+1)/1.01325)*(273.15/(273.15+A37))</f>
        <v>5.2487106523945632</v>
      </c>
      <c r="AX37" s="17">
        <f>($B$1/1000)*((AX5+1)/1.01325)*(273.15/(273.15+A37))</f>
        <v>5.3599121492673287</v>
      </c>
      <c r="AY37" s="17">
        <f>($B$1/1000)*((AY5+1)/1.01325)*(273.15/(273.15+A37))</f>
        <v>5.4711136461400951</v>
      </c>
      <c r="AZ37" s="17">
        <f>($B$1/1000)*((AZ5+1)/1.01325)*(273.15/(273.15+A37))</f>
        <v>5.5823151430128615</v>
      </c>
      <c r="BA37" s="17">
        <f>($B$1/1000)*((BA5+1)/1.01325)*(273.15/(273.15+A37))</f>
        <v>5.6935166398856278</v>
      </c>
      <c r="BB37" s="17">
        <f>($B$1/1000)*((BB5+1)/1.01325)*(273.15/(273.15+A37))</f>
        <v>5.8047181367583942</v>
      </c>
      <c r="BC37" s="17">
        <f>($B$1/1000)*((BC5+1)/1.01325)*(273.15/(273.15+A37))</f>
        <v>5.9159196336311597</v>
      </c>
      <c r="BD37" s="17">
        <f>($B$1/1000)*((BD5+1)/1.01325)*(273.15/(273.15+A37))</f>
        <v>6.0271211305039252</v>
      </c>
      <c r="BE37" s="17">
        <f>($B$1/1000)*((BE5+1)/1.01325)*(273.15/(273.15+A37))</f>
        <v>6.1383226273766924</v>
      </c>
      <c r="BF37" s="17">
        <f>($B$1/1000)*((BF5+1)/1.01325)*(273.15/(273.15+A37))</f>
        <v>6.2495241242494588</v>
      </c>
      <c r="BG37" s="17">
        <f>($B$1/1000)*((BG5+1)/1.01325)*(273.15/(273.15+A37))</f>
        <v>6.3607256211222243</v>
      </c>
      <c r="BH37" s="17">
        <f>($B$1/1000)*((BH5+1)/1.01325)*(273.15/(273.15+A37))</f>
        <v>6.4719271179949907</v>
      </c>
      <c r="BI37" s="17">
        <f>($B$1/1000)*((BI5+1)/1.01325)*(273.15/(273.15+A37))</f>
        <v>6.5831286148677579</v>
      </c>
      <c r="BJ37" s="17">
        <f>($B$1/1000)*((BJ5+1)/1.01325)*(273.15/(273.15+A37))</f>
        <v>6.6943301117405234</v>
      </c>
    </row>
    <row r="38" spans="1:62" ht="18.75">
      <c r="A38" s="3">
        <v>44</v>
      </c>
      <c r="B38" s="17">
        <f>($B$1/1000)*((B5+1)/1.01325)*(273.15/(273.15+A38))</f>
        <v>2.2100048393159235E-2</v>
      </c>
      <c r="C38" s="17">
        <f>($B$1/1000)*((C5+1)/1.01325)*(273.15/(273.15+A38))</f>
        <v>0.1326002903589554</v>
      </c>
      <c r="D38" s="17">
        <f>($B$1/1000)*((D5+1)/1.01325)*(273.15/(273.15+A38))</f>
        <v>0.24310053232475157</v>
      </c>
      <c r="E38" s="17">
        <f>($B$1/1000)*((E5+1)/1.01325)*(273.15/(273.15+A38))</f>
        <v>0.35360077429054776</v>
      </c>
      <c r="F38" s="17">
        <f>($B$1/1000)*((F5+1)/1.01325)*(273.15/(273.15+A38))</f>
        <v>0.46410101625634387</v>
      </c>
      <c r="G38" s="17">
        <f>($B$1/1000)*((G5+1)/1.01325)*(273.15/(273.15+A38))</f>
        <v>0.57460125822214014</v>
      </c>
      <c r="H38" s="17">
        <f>($B$1/1000)*((H5+1)/1.01325)*(273.15/(273.15+A38))</f>
        <v>0.68510150018793625</v>
      </c>
      <c r="I38" s="17">
        <f>($B$1/1000)*((I5+1)/1.01325)*(273.15/(273.15+A38))</f>
        <v>0.79560174215373247</v>
      </c>
      <c r="J38" s="17">
        <f>($B$1/1000)*((J5+1)/1.01325)*(273.15/(273.15+A38))</f>
        <v>0.90610198411952847</v>
      </c>
      <c r="K38" s="17">
        <f>($B$1/1000)*((K5+1)/1.01325)*(273.15/(273.15+A38))</f>
        <v>1.0166022260853249</v>
      </c>
      <c r="L38" s="17">
        <f>($B$1/1000)*((L5+1)/1.01325)*(273.15/(273.15+A38))</f>
        <v>1.127102468051121</v>
      </c>
      <c r="M38" s="17">
        <f>($B$1/1000)*((M5+1)/1.01325)*(273.15/(273.15+A38))</f>
        <v>1.2376027100169169</v>
      </c>
      <c r="N38" s="17">
        <f>($B$1/1000)*((N5+1)/1.01325)*(273.15/(273.15+A38))</f>
        <v>1.3481029519827135</v>
      </c>
      <c r="O38" s="17">
        <f>($B$1/1000)*((O5+1)/1.01325)*(273.15/(273.15+A38))</f>
        <v>1.4586031939485093</v>
      </c>
      <c r="P38" s="17">
        <f>($B$1/1000)*((P5+1)/1.01325)*(273.15/(273.15+A38))</f>
        <v>1.5691034359143055</v>
      </c>
      <c r="Q38" s="17">
        <f>($B$1/1000)*((Q5+1)/1.01325)*(273.15/(273.15+A38))</f>
        <v>1.6796036778801018</v>
      </c>
      <c r="R38" s="17">
        <f>($B$1/1000)*((R5+1)/1.01325)*(273.15/(273.15+A38))</f>
        <v>1.7901039198458981</v>
      </c>
      <c r="S38" s="17">
        <f>($B$1/1000)*((S5+1)/1.01325)*(273.15/(273.15+A38))</f>
        <v>1.9006041618116938</v>
      </c>
      <c r="T38" s="17">
        <f>($B$1/1000)*((T5+1)/1.01325)*(273.15/(273.15+A38))</f>
        <v>2.0111044037774906</v>
      </c>
      <c r="U38" s="17">
        <f>($B$1/1000)*((U5+1)/1.01325)*(273.15/(273.15+A38))</f>
        <v>2.1216046457432864</v>
      </c>
      <c r="V38" s="17">
        <f>($B$1/1000)*((V5+1)/1.01325)*(273.15/(273.15+A38))</f>
        <v>2.2321048877090828</v>
      </c>
      <c r="W38" s="17">
        <f>($B$1/1000)*((W5+1)/1.01325)*(273.15/(273.15+A38))</f>
        <v>2.3426051296748787</v>
      </c>
      <c r="X38" s="17">
        <f>($B$1/1000)*((X5+1)/1.01325)*(273.15/(273.15+A38))</f>
        <v>2.453105371640675</v>
      </c>
      <c r="Y38" s="17">
        <f>($B$1/1000)*((Y5+1)/1.01325)*(273.15/(273.15+A38))</f>
        <v>2.5636056136064713</v>
      </c>
      <c r="Z38" s="17">
        <f>($B$1/1000)*((Z5+1)/1.01325)*(273.15/(273.15+A38))</f>
        <v>2.6741058555722672</v>
      </c>
      <c r="AA38" s="17">
        <f>($B$1/1000)*((AA5+1)/1.01325)*(273.15/(273.15+A38))</f>
        <v>2.7846060975380635</v>
      </c>
      <c r="AB38" s="17">
        <f>($B$1/1000)*((AB5+1)/1.01325)*(273.15/(273.15+A38))</f>
        <v>2.8951063395038594</v>
      </c>
      <c r="AC38" s="17">
        <f>($B$1/1000)*((AC5+1)/1.01325)*(273.15/(273.15+A38))</f>
        <v>3.0056065814696553</v>
      </c>
      <c r="AD38" s="17">
        <f>($B$1/1000)*((AD5+1)/1.01325)*(273.15/(273.15+A38))</f>
        <v>3.1161068234354521</v>
      </c>
      <c r="AE38" s="17">
        <f>($B$1/1000)*((AE5+1)/1.01325)*(273.15/(273.15+A38))</f>
        <v>3.226607065401248</v>
      </c>
      <c r="AF38" s="17">
        <f>($B$1/1000)*((AF5+1)/1.01325)*(273.15/(273.15+A38))</f>
        <v>3.3371073073670443</v>
      </c>
      <c r="AG38" s="17">
        <f>($B$1/1000)*((AG5+1)/1.01325)*(273.15/(273.15+A38))</f>
        <v>3.4476075493328406</v>
      </c>
      <c r="AH38" s="17">
        <f>($B$1/1000)*((AH5+1)/1.01325)*(273.15/(273.15+A38))</f>
        <v>3.5581077912986365</v>
      </c>
      <c r="AI38" s="17">
        <f>($B$1/1000)*((AI5+1)/1.01325)*(273.15/(273.15+A38))</f>
        <v>3.6686080332644329</v>
      </c>
      <c r="AJ38" s="17">
        <f>($B$1/1000)*((AJ5+1)/1.01325)*(273.15/(273.15+A38))</f>
        <v>3.7791082752302292</v>
      </c>
      <c r="AK38" s="17">
        <f>($B$1/1000)*((AK5+1)/1.01325)*(273.15/(273.15+A38))</f>
        <v>3.8896085171960251</v>
      </c>
      <c r="AL38" s="17">
        <f>($B$1/1000)*((AL5+1)/1.01325)*(273.15/(273.15+A38))</f>
        <v>4.0001087591618214</v>
      </c>
      <c r="AM38" s="17">
        <f>($B$1/1000)*((AM5+1)/1.01325)*(273.15/(273.15+A38))</f>
        <v>4.1106090011276173</v>
      </c>
      <c r="AN38" s="17">
        <f>($B$1/1000)*((AN5+1)/1.01325)*(273.15/(273.15+A38))</f>
        <v>4.2211092430934141</v>
      </c>
      <c r="AO38" s="17">
        <f>($B$1/1000)*((AO5+1)/1.01325)*(273.15/(273.15+A38))</f>
        <v>4.33160948505921</v>
      </c>
      <c r="AP38" s="17">
        <f>($B$1/1000)*((AP5+1)/1.01325)*(273.15/(273.15+A38))</f>
        <v>4.4421097270250058</v>
      </c>
      <c r="AQ38" s="17">
        <f>($B$1/1000)*((AQ5+1)/1.01325)*(273.15/(273.15+A38))</f>
        <v>4.5526099689908017</v>
      </c>
      <c r="AR38" s="17">
        <f>($B$1/1000)*((AR5+1)/1.01325)*(273.15/(273.15+A38))</f>
        <v>4.6631102109565985</v>
      </c>
      <c r="AS38" s="17">
        <f>($B$1/1000)*((AS5+1)/1.01325)*(273.15/(273.15+A38))</f>
        <v>4.7736104529223944</v>
      </c>
      <c r="AT38" s="17">
        <f>($B$1/1000)*((AT5+1)/1.01325)*(273.15/(273.15+A38))</f>
        <v>4.8841106948881903</v>
      </c>
      <c r="AU38" s="17">
        <f>($B$1/1000)*((AU5+1)/1.01325)*(273.15/(273.15+A38))</f>
        <v>4.994610936853987</v>
      </c>
      <c r="AV38" s="17">
        <f>($B$1/1000)*((AV5+1)/1.01325)*(273.15/(273.15+A38))</f>
        <v>5.1051111788197829</v>
      </c>
      <c r="AW38" s="17">
        <f>($B$1/1000)*((AW5+1)/1.01325)*(273.15/(273.15+A38))</f>
        <v>5.2156114207855788</v>
      </c>
      <c r="AX38" s="17">
        <f>($B$1/1000)*((AX5+1)/1.01325)*(273.15/(273.15+A38))</f>
        <v>5.3261116627513756</v>
      </c>
      <c r="AY38" s="17">
        <f>($B$1/1000)*((AY5+1)/1.01325)*(273.15/(273.15+A38))</f>
        <v>5.4366119047171715</v>
      </c>
      <c r="AZ38" s="17">
        <f>($B$1/1000)*((AZ5+1)/1.01325)*(273.15/(273.15+A38))</f>
        <v>5.5471121466829674</v>
      </c>
      <c r="BA38" s="17">
        <f>($B$1/1000)*((BA5+1)/1.01325)*(273.15/(273.15+A38))</f>
        <v>5.6576123886487641</v>
      </c>
      <c r="BB38" s="17">
        <f>($B$1/1000)*((BB5+1)/1.01325)*(273.15/(273.15+A38))</f>
        <v>5.7681126306145609</v>
      </c>
      <c r="BC38" s="17">
        <f>($B$1/1000)*((BC5+1)/1.01325)*(273.15/(273.15+A38))</f>
        <v>5.8786128725803559</v>
      </c>
      <c r="BD38" s="17">
        <f>($B$1/1000)*((BD5+1)/1.01325)*(273.15/(273.15+A38))</f>
        <v>5.9891131145461518</v>
      </c>
      <c r="BE38" s="17">
        <f>($B$1/1000)*((BE5+1)/1.01325)*(273.15/(273.15+A38))</f>
        <v>6.0996133565119486</v>
      </c>
      <c r="BF38" s="17">
        <f>($B$1/1000)*((BF5+1)/1.01325)*(273.15/(273.15+A38))</f>
        <v>6.2101135984777445</v>
      </c>
      <c r="BG38" s="17">
        <f>($B$1/1000)*((BG5+1)/1.01325)*(273.15/(273.15+A38))</f>
        <v>6.3206138404435404</v>
      </c>
      <c r="BH38" s="17">
        <f>($B$1/1000)*((BH5+1)/1.01325)*(273.15/(273.15+A38))</f>
        <v>6.4311140824093371</v>
      </c>
      <c r="BI38" s="17">
        <f>($B$1/1000)*((BI5+1)/1.01325)*(273.15/(273.15+A38))</f>
        <v>6.5416143243751339</v>
      </c>
      <c r="BJ38" s="17">
        <f>($B$1/1000)*((BJ5+1)/1.01325)*(273.15/(273.15+A38))</f>
        <v>6.6521145663409289</v>
      </c>
    </row>
    <row r="39" spans="1:62" ht="18.75">
      <c r="A39" s="3">
        <v>46</v>
      </c>
      <c r="B39" s="17">
        <f>($B$1/1000)*((B5+1)/1.01325)*(273.15/(273.15+A39))</f>
        <v>2.196155521820602E-2</v>
      </c>
      <c r="C39" s="17">
        <f>($B$1/1000)*((C5+1)/1.01325)*(273.15/(273.15+A39))</f>
        <v>0.13176933130923613</v>
      </c>
      <c r="D39" s="17">
        <f>($B$1/1000)*((D5+1)/1.01325)*(273.15/(273.15+A39))</f>
        <v>0.24157710740026622</v>
      </c>
      <c r="E39" s="17">
        <f>($B$1/1000)*((E5+1)/1.01325)*(273.15/(273.15+A39))</f>
        <v>0.35138488349129632</v>
      </c>
      <c r="F39" s="17">
        <f>($B$1/1000)*((F5+1)/1.01325)*(273.15/(273.15+A39))</f>
        <v>0.46119265958232636</v>
      </c>
      <c r="G39" s="17">
        <f>($B$1/1000)*((G5+1)/1.01325)*(273.15/(273.15+A39))</f>
        <v>0.57100043567335657</v>
      </c>
      <c r="H39" s="17">
        <f>($B$1/1000)*((H5+1)/1.01325)*(273.15/(273.15+A39))</f>
        <v>0.68080821176438666</v>
      </c>
      <c r="I39" s="17">
        <f>($B$1/1000)*((I5+1)/1.01325)*(273.15/(273.15+A39))</f>
        <v>0.79061598785541676</v>
      </c>
      <c r="J39" s="17">
        <f>($B$1/1000)*((J5+1)/1.01325)*(273.15/(273.15+A39))</f>
        <v>0.90042376394644674</v>
      </c>
      <c r="K39" s="17">
        <f>($B$1/1000)*((K5+1)/1.01325)*(273.15/(273.15+A39))</f>
        <v>1.0102315400374771</v>
      </c>
      <c r="L39" s="17">
        <f>($B$1/1000)*((L5+1)/1.01325)*(273.15/(273.15+A39))</f>
        <v>1.1200393161285072</v>
      </c>
      <c r="M39" s="17">
        <f>($B$1/1000)*((M5+1)/1.01325)*(273.15/(273.15+A39))</f>
        <v>1.229847092219537</v>
      </c>
      <c r="N39" s="17">
        <f>($B$1/1000)*((N5+1)/1.01325)*(273.15/(273.15+A39))</f>
        <v>1.3396548683105673</v>
      </c>
      <c r="O39" s="17">
        <f>($B$1/1000)*((O5+1)/1.01325)*(273.15/(273.15+A39))</f>
        <v>1.4494626444015972</v>
      </c>
      <c r="P39" s="17">
        <f>($B$1/1000)*((P5+1)/1.01325)*(273.15/(273.15+A39))</f>
        <v>1.5592704204926273</v>
      </c>
      <c r="Q39" s="17">
        <f>($B$1/1000)*((Q5+1)/1.01325)*(273.15/(273.15+A39))</f>
        <v>1.6690781965836576</v>
      </c>
      <c r="R39" s="17">
        <f>($B$1/1000)*((R5+1)/1.01325)*(273.15/(273.15+A39))</f>
        <v>1.7788859726746877</v>
      </c>
      <c r="S39" s="17">
        <f>($B$1/1000)*((S5+1)/1.01325)*(273.15/(273.15+A39))</f>
        <v>1.8886937487657174</v>
      </c>
      <c r="T39" s="17">
        <f>($B$1/1000)*((T5+1)/1.01325)*(273.15/(273.15+A39))</f>
        <v>1.9985015248567479</v>
      </c>
      <c r="U39" s="17">
        <f>($B$1/1000)*((U5+1)/1.01325)*(273.15/(273.15+A39))</f>
        <v>2.108309300947778</v>
      </c>
      <c r="V39" s="17">
        <f>($B$1/1000)*((V5+1)/1.01325)*(273.15/(273.15+A39))</f>
        <v>2.2181170770388081</v>
      </c>
      <c r="W39" s="17">
        <f>($B$1/1000)*((W5+1)/1.01325)*(273.15/(273.15+A39))</f>
        <v>2.3279248531298382</v>
      </c>
      <c r="X39" s="17">
        <f>($B$1/1000)*((X5+1)/1.01325)*(273.15/(273.15+A39))</f>
        <v>2.4377326292208683</v>
      </c>
      <c r="Y39" s="17">
        <f>($B$1/1000)*((Y5+1)/1.01325)*(273.15/(273.15+A39))</f>
        <v>2.5475404053118984</v>
      </c>
      <c r="Z39" s="17">
        <f>($B$1/1000)*((Z5+1)/1.01325)*(273.15/(273.15+A39))</f>
        <v>2.6573481814029285</v>
      </c>
      <c r="AA39" s="17">
        <f>($B$1/1000)*((AA5+1)/1.01325)*(273.15/(273.15+A39))</f>
        <v>2.7671559574939586</v>
      </c>
      <c r="AB39" s="17">
        <f>($B$1/1000)*((AB5+1)/1.01325)*(273.15/(273.15+A39))</f>
        <v>2.8769637335849882</v>
      </c>
      <c r="AC39" s="17">
        <f>($B$1/1000)*((AC5+1)/1.01325)*(273.15/(273.15+A39))</f>
        <v>2.9867715096760183</v>
      </c>
      <c r="AD39" s="17">
        <f>($B$1/1000)*((AD5+1)/1.01325)*(273.15/(273.15+A39))</f>
        <v>3.0965792857670489</v>
      </c>
      <c r="AE39" s="17">
        <f>($B$1/1000)*((AE5+1)/1.01325)*(273.15/(273.15+A39))</f>
        <v>3.206387061858079</v>
      </c>
      <c r="AF39" s="17">
        <f>($B$1/1000)*((AF5+1)/1.01325)*(273.15/(273.15+A39))</f>
        <v>3.3161948379491091</v>
      </c>
      <c r="AG39" s="17">
        <f>($B$1/1000)*((AG5+1)/1.01325)*(273.15/(273.15+A39))</f>
        <v>3.4260026140401392</v>
      </c>
      <c r="AH39" s="17">
        <f>($B$1/1000)*((AH5+1)/1.01325)*(273.15/(273.15+A39))</f>
        <v>3.5358103901311693</v>
      </c>
      <c r="AI39" s="17">
        <f>($B$1/1000)*((AI5+1)/1.01325)*(273.15/(273.15+A39))</f>
        <v>3.6456181662221994</v>
      </c>
      <c r="AJ39" s="17">
        <f>($B$1/1000)*((AJ5+1)/1.01325)*(273.15/(273.15+A39))</f>
        <v>3.7554259423132295</v>
      </c>
      <c r="AK39" s="17">
        <f>($B$1/1000)*((AK5+1)/1.01325)*(273.15/(273.15+A39))</f>
        <v>3.8652337184042596</v>
      </c>
      <c r="AL39" s="17">
        <f>($B$1/1000)*((AL5+1)/1.01325)*(273.15/(273.15+A39))</f>
        <v>3.9750414944952897</v>
      </c>
      <c r="AM39" s="17">
        <f>($B$1/1000)*((AM5+1)/1.01325)*(273.15/(273.15+A39))</f>
        <v>4.0848492705863197</v>
      </c>
      <c r="AN39" s="17">
        <f>($B$1/1000)*((AN5+1)/1.01325)*(273.15/(273.15+A39))</f>
        <v>4.1946570466773494</v>
      </c>
      <c r="AO39" s="17">
        <f>($B$1/1000)*((AO5+1)/1.01325)*(273.15/(273.15+A39))</f>
        <v>4.3044648227683799</v>
      </c>
      <c r="AP39" s="17">
        <f>($B$1/1000)*((AP5+1)/1.01325)*(273.15/(273.15+A39))</f>
        <v>4.4142725988594096</v>
      </c>
      <c r="AQ39" s="17">
        <f>($B$1/1000)*((AQ5+1)/1.01325)*(273.15/(273.15+A39))</f>
        <v>4.5240803749504401</v>
      </c>
      <c r="AR39" s="17">
        <f>($B$1/1000)*((AR5+1)/1.01325)*(273.15/(273.15+A39))</f>
        <v>4.6338881510414698</v>
      </c>
      <c r="AS39" s="17">
        <f>($B$1/1000)*((AS5+1)/1.01325)*(273.15/(273.15+A39))</f>
        <v>4.7436959271325003</v>
      </c>
      <c r="AT39" s="17">
        <f>($B$1/1000)*((AT5+1)/1.01325)*(273.15/(273.15+A39))</f>
        <v>4.85350370322353</v>
      </c>
      <c r="AU39" s="17">
        <f>($B$1/1000)*((AU5+1)/1.01325)*(273.15/(273.15+A39))</f>
        <v>4.9633114793145605</v>
      </c>
      <c r="AV39" s="17">
        <f>($B$1/1000)*((AV5+1)/1.01325)*(273.15/(273.15+A39))</f>
        <v>5.0731192554055902</v>
      </c>
      <c r="AW39" s="17">
        <f>($B$1/1000)*((AW5+1)/1.01325)*(273.15/(273.15+A39))</f>
        <v>5.1829270314966207</v>
      </c>
      <c r="AX39" s="17">
        <f>($B$1/1000)*((AX5+1)/1.01325)*(273.15/(273.15+A39))</f>
        <v>5.2927348075876504</v>
      </c>
      <c r="AY39" s="17">
        <f>($B$1/1000)*((AY5+1)/1.01325)*(273.15/(273.15+A39))</f>
        <v>5.4025425836786809</v>
      </c>
      <c r="AZ39" s="17">
        <f>($B$1/1000)*((AZ5+1)/1.01325)*(273.15/(273.15+A39))</f>
        <v>5.5123503597697106</v>
      </c>
      <c r="BA39" s="17">
        <f>($B$1/1000)*((BA5+1)/1.01325)*(273.15/(273.15+A39))</f>
        <v>5.6221581358607411</v>
      </c>
      <c r="BB39" s="17">
        <f>($B$1/1000)*((BB5+1)/1.01325)*(273.15/(273.15+A39))</f>
        <v>5.7319659119517716</v>
      </c>
      <c r="BC39" s="17">
        <f>($B$1/1000)*((BC5+1)/1.01325)*(273.15/(273.15+A39))</f>
        <v>5.8417736880428013</v>
      </c>
      <c r="BD39" s="17">
        <f>($B$1/1000)*((BD5+1)/1.01325)*(273.15/(273.15+A39))</f>
        <v>5.95158146413383</v>
      </c>
      <c r="BE39" s="17">
        <f>($B$1/1000)*((BE5+1)/1.01325)*(273.15/(273.15+A39))</f>
        <v>6.0613892402248615</v>
      </c>
      <c r="BF39" s="17">
        <f>($B$1/1000)*((BF5+1)/1.01325)*(273.15/(273.15+A39))</f>
        <v>6.1711970163158911</v>
      </c>
      <c r="BG39" s="17">
        <f>($B$1/1000)*((BG5+1)/1.01325)*(273.15/(273.15+A39))</f>
        <v>6.2810047924069217</v>
      </c>
      <c r="BH39" s="17">
        <f>($B$1/1000)*((BH5+1)/1.01325)*(273.15/(273.15+A39))</f>
        <v>6.3908125684979513</v>
      </c>
      <c r="BI39" s="17">
        <f>($B$1/1000)*((BI5+1)/1.01325)*(273.15/(273.15+A39))</f>
        <v>6.5006203445889827</v>
      </c>
      <c r="BJ39" s="17">
        <f>($B$1/1000)*((BJ5+1)/1.01325)*(273.15/(273.15+A39))</f>
        <v>6.6104281206800115</v>
      </c>
    </row>
    <row r="40" spans="1:62" ht="18.75">
      <c r="A40" s="3">
        <v>48</v>
      </c>
      <c r="B40" s="17">
        <f>($B$1/1000)*((B5+1)/1.01325)*(273.15/(273.15+A40))</f>
        <v>2.1824787008844625E-2</v>
      </c>
      <c r="C40" s="17">
        <f>($B$1/1000)*((C5+1)/1.01325)*(273.15/(273.15+A40))</f>
        <v>0.13094872205306776</v>
      </c>
      <c r="D40" s="17">
        <f>($B$1/1000)*((D5+1)/1.01325)*(273.15/(273.15+A40))</f>
        <v>0.24007265709729086</v>
      </c>
      <c r="E40" s="17">
        <f>($B$1/1000)*((E5+1)/1.01325)*(273.15/(273.15+A40))</f>
        <v>0.349196592141514</v>
      </c>
      <c r="F40" s="17">
        <f>($B$1/1000)*((F5+1)/1.01325)*(273.15/(273.15+A40))</f>
        <v>0.45832052718573707</v>
      </c>
      <c r="G40" s="17">
        <f>($B$1/1000)*((G5+1)/1.01325)*(273.15/(273.15+A40))</f>
        <v>0.56744446222996026</v>
      </c>
      <c r="H40" s="17">
        <f>($B$1/1000)*((H5+1)/1.01325)*(273.15/(273.15+A40))</f>
        <v>0.67656839727418339</v>
      </c>
      <c r="I40" s="17">
        <f>($B$1/1000)*((I5+1)/1.01325)*(273.15/(273.15+A40))</f>
        <v>0.78569233231840652</v>
      </c>
      <c r="J40" s="17">
        <f>($B$1/1000)*((J5+1)/1.01325)*(273.15/(273.15+A40))</f>
        <v>0.89481626736262954</v>
      </c>
      <c r="K40" s="17">
        <f>($B$1/1000)*((K5+1)/1.01325)*(273.15/(273.15+A40))</f>
        <v>1.0039402024068529</v>
      </c>
      <c r="L40" s="17">
        <f>($B$1/1000)*((L5+1)/1.01325)*(273.15/(273.15+A40))</f>
        <v>1.1130641374510759</v>
      </c>
      <c r="M40" s="17">
        <f>($B$1/1000)*((M5+1)/1.01325)*(273.15/(273.15+A40))</f>
        <v>1.2221880724952989</v>
      </c>
      <c r="N40" s="17">
        <f>($B$1/1000)*((N5+1)/1.01325)*(273.15/(273.15+A40))</f>
        <v>1.3313120075395222</v>
      </c>
      <c r="O40" s="17">
        <f>($B$1/1000)*((O5+1)/1.01325)*(273.15/(273.15+A40))</f>
        <v>1.4404359425837452</v>
      </c>
      <c r="P40" s="17">
        <f>($B$1/1000)*((P5+1)/1.01325)*(273.15/(273.15+A40))</f>
        <v>1.5495598776279682</v>
      </c>
      <c r="Q40" s="17">
        <f>($B$1/1000)*((Q5+1)/1.01325)*(273.15/(273.15+A40))</f>
        <v>1.6586838126721917</v>
      </c>
      <c r="R40" s="17">
        <f>($B$1/1000)*((R5+1)/1.01325)*(273.15/(273.15+A40))</f>
        <v>1.7678077477164147</v>
      </c>
      <c r="S40" s="17">
        <f>($B$1/1000)*((S5+1)/1.01325)*(273.15/(273.15+A40))</f>
        <v>1.8769316827606375</v>
      </c>
      <c r="T40" s="17">
        <f>($B$1/1000)*((T5+1)/1.01325)*(273.15/(273.15+A40))</f>
        <v>1.986055617804861</v>
      </c>
      <c r="U40" s="17">
        <f>($B$1/1000)*((U5+1)/1.01325)*(273.15/(273.15+A40))</f>
        <v>2.0951795528490842</v>
      </c>
      <c r="V40" s="17">
        <f>($B$1/1000)*((V5+1)/1.01325)*(273.15/(273.15+A40))</f>
        <v>2.204303487893307</v>
      </c>
      <c r="W40" s="17">
        <f>($B$1/1000)*((W5+1)/1.01325)*(273.15/(273.15+A40))</f>
        <v>2.3134274229375302</v>
      </c>
      <c r="X40" s="17">
        <f>($B$1/1000)*((X5+1)/1.01325)*(273.15/(273.15+A40))</f>
        <v>2.4225513579817535</v>
      </c>
      <c r="Y40" s="17">
        <f>($B$1/1000)*((Y5+1)/1.01325)*(273.15/(273.15+A40))</f>
        <v>2.5316752930259767</v>
      </c>
      <c r="Z40" s="17">
        <f>($B$1/1000)*((Z5+1)/1.01325)*(273.15/(273.15+A40))</f>
        <v>2.6407992280701995</v>
      </c>
      <c r="AA40" s="17">
        <f>($B$1/1000)*((AA5+1)/1.01325)*(273.15/(273.15+A40))</f>
        <v>2.7499231631144228</v>
      </c>
      <c r="AB40" s="17">
        <f>($B$1/1000)*((AB5+1)/1.01325)*(273.15/(273.15+A40))</f>
        <v>2.8590470981586456</v>
      </c>
      <c r="AC40" s="17">
        <f>($B$1/1000)*((AC5+1)/1.01325)*(273.15/(273.15+A40))</f>
        <v>2.9681710332028688</v>
      </c>
      <c r="AD40" s="17">
        <f>($B$1/1000)*((AD5+1)/1.01325)*(273.15/(273.15+A40))</f>
        <v>3.077294968247092</v>
      </c>
      <c r="AE40" s="17">
        <f>($B$1/1000)*((AE5+1)/1.01325)*(273.15/(273.15+A40))</f>
        <v>3.1864189032913153</v>
      </c>
      <c r="AF40" s="17">
        <f>($B$1/1000)*((AF5+1)/1.01325)*(273.15/(273.15+A40))</f>
        <v>3.2955428383355385</v>
      </c>
      <c r="AG40" s="17">
        <f>($B$1/1000)*((AG5+1)/1.01325)*(273.15/(273.15+A40))</f>
        <v>3.4046667733797613</v>
      </c>
      <c r="AH40" s="17">
        <f>($B$1/1000)*((AH5+1)/1.01325)*(273.15/(273.15+A40))</f>
        <v>3.5137907084239846</v>
      </c>
      <c r="AI40" s="17">
        <f>($B$1/1000)*((AI5+1)/1.01325)*(273.15/(273.15+A40))</f>
        <v>3.6229146434682078</v>
      </c>
      <c r="AJ40" s="17">
        <f>($B$1/1000)*((AJ5+1)/1.01325)*(273.15/(273.15+A40))</f>
        <v>3.732038578512431</v>
      </c>
      <c r="AK40" s="17">
        <f>($B$1/1000)*((AK5+1)/1.01325)*(273.15/(273.15+A40))</f>
        <v>3.8411625135566538</v>
      </c>
      <c r="AL40" s="17">
        <f>($B$1/1000)*((AL5+1)/1.01325)*(273.15/(273.15+A40))</f>
        <v>3.9502864486008771</v>
      </c>
      <c r="AM40" s="17">
        <f>($B$1/1000)*((AM5+1)/1.01325)*(273.15/(273.15+A40))</f>
        <v>4.0594103836451003</v>
      </c>
      <c r="AN40" s="17">
        <f>($B$1/1000)*((AN5+1)/1.01325)*(273.15/(273.15+A40))</f>
        <v>4.1685343186893231</v>
      </c>
      <c r="AO40" s="17">
        <f>($B$1/1000)*((AO5+1)/1.01325)*(273.15/(273.15+A40))</f>
        <v>4.2776582537335468</v>
      </c>
      <c r="AP40" s="17">
        <f>($B$1/1000)*((AP5+1)/1.01325)*(273.15/(273.15+A40))</f>
        <v>4.3867821887777696</v>
      </c>
      <c r="AQ40" s="17">
        <f>($B$1/1000)*((AQ5+1)/1.01325)*(273.15/(273.15+A40))</f>
        <v>4.4959061238219924</v>
      </c>
      <c r="AR40" s="17">
        <f>($B$1/1000)*((AR5+1)/1.01325)*(273.15/(273.15+A40))</f>
        <v>4.6050300588662161</v>
      </c>
      <c r="AS40" s="17">
        <f>($B$1/1000)*((AS5+1)/1.01325)*(273.15/(273.15+A40))</f>
        <v>4.7141539939104389</v>
      </c>
      <c r="AT40" s="17">
        <f>($B$1/1000)*((AT5+1)/1.01325)*(273.15/(273.15+A40))</f>
        <v>4.8232779289546617</v>
      </c>
      <c r="AU40" s="17">
        <f>($B$1/1000)*((AU5+1)/1.01325)*(273.15/(273.15+A40))</f>
        <v>4.9324018639988854</v>
      </c>
      <c r="AV40" s="17">
        <f>($B$1/1000)*((AV5+1)/1.01325)*(273.15/(273.15+A40))</f>
        <v>5.0415257990431082</v>
      </c>
      <c r="AW40" s="17">
        <f>($B$1/1000)*((AW5+1)/1.01325)*(273.15/(273.15+A40))</f>
        <v>5.1506497340873318</v>
      </c>
      <c r="AX40" s="17">
        <f>($B$1/1000)*((AX5+1)/1.01325)*(273.15/(273.15+A40))</f>
        <v>5.2597736691315546</v>
      </c>
      <c r="AY40" s="17">
        <f>($B$1/1000)*((AY5+1)/1.01325)*(273.15/(273.15+A40))</f>
        <v>5.3688976041757774</v>
      </c>
      <c r="AZ40" s="17">
        <f>($B$1/1000)*((AZ5+1)/1.01325)*(273.15/(273.15+A40))</f>
        <v>5.4780215392200011</v>
      </c>
      <c r="BA40" s="17">
        <f>($B$1/1000)*((BA5+1)/1.01325)*(273.15/(273.15+A40))</f>
        <v>5.5871454742642239</v>
      </c>
      <c r="BB40" s="17">
        <f>($B$1/1000)*((BB5+1)/1.01325)*(273.15/(273.15+A40))</f>
        <v>5.6962694093084476</v>
      </c>
      <c r="BC40" s="17">
        <f>($B$1/1000)*((BC5+1)/1.01325)*(273.15/(273.15+A40))</f>
        <v>5.8053933443526704</v>
      </c>
      <c r="BD40" s="17">
        <f>($B$1/1000)*((BD5+1)/1.01325)*(273.15/(273.15+A40))</f>
        <v>5.9145172793968923</v>
      </c>
      <c r="BE40" s="17">
        <f>($B$1/1000)*((BE5+1)/1.01325)*(273.15/(273.15+A40))</f>
        <v>6.023641214441116</v>
      </c>
      <c r="BF40" s="17">
        <f>($B$1/1000)*((BF5+1)/1.01325)*(273.15/(273.15+A40))</f>
        <v>6.1327651494853397</v>
      </c>
      <c r="BG40" s="17">
        <f>($B$1/1000)*((BG5+1)/1.01325)*(273.15/(273.15+A40))</f>
        <v>6.2418890845295625</v>
      </c>
      <c r="BH40" s="17">
        <f>($B$1/1000)*((BH5+1)/1.01325)*(273.15/(273.15+A40))</f>
        <v>6.3510130195737862</v>
      </c>
      <c r="BI40" s="17">
        <f>($B$1/1000)*((BI5+1)/1.01325)*(273.15/(273.15+A40))</f>
        <v>6.4601369546180099</v>
      </c>
      <c r="BJ40" s="17">
        <f>($B$1/1000)*((BJ5+1)/1.01325)*(273.15/(273.15+A40))</f>
        <v>6.5692608896622318</v>
      </c>
    </row>
    <row r="41" spans="1:62" ht="18.75">
      <c r="A41" s="3">
        <v>50</v>
      </c>
      <c r="B41" s="17">
        <f>($B$1/1000)*((B5+1)/1.01325)*(273.15/(273.15+A41))</f>
        <v>2.1689711737244162E-2</v>
      </c>
      <c r="C41" s="17">
        <f>($B$1/1000)*((C5+1)/1.01325)*(273.15/(273.15+A41))</f>
        <v>0.13013827042346499</v>
      </c>
      <c r="D41" s="17">
        <f>($B$1/1000)*((D5+1)/1.01325)*(273.15/(273.15+A41))</f>
        <v>0.23858682910968579</v>
      </c>
      <c r="E41" s="17">
        <f>($B$1/1000)*((E5+1)/1.01325)*(273.15/(273.15+A41))</f>
        <v>0.34703538779590659</v>
      </c>
      <c r="F41" s="17">
        <f>($B$1/1000)*((F5+1)/1.01325)*(273.15/(273.15+A41))</f>
        <v>0.45548394648212731</v>
      </c>
      <c r="G41" s="17">
        <f>($B$1/1000)*((G5+1)/1.01325)*(273.15/(273.15+A41))</f>
        <v>0.56393250516834825</v>
      </c>
      <c r="H41" s="17">
        <f>($B$1/1000)*((H5+1)/1.01325)*(273.15/(273.15+A41))</f>
        <v>0.67238106385456908</v>
      </c>
      <c r="I41" s="17">
        <f>($B$1/1000)*((I5+1)/1.01325)*(273.15/(273.15+A41))</f>
        <v>0.7808296225407898</v>
      </c>
      <c r="J41" s="17">
        <f>($B$1/1000)*((J5+1)/1.01325)*(273.15/(273.15+A41))</f>
        <v>0.88927818122701052</v>
      </c>
      <c r="K41" s="17">
        <f>($B$1/1000)*((K5+1)/1.01325)*(273.15/(273.15+A41))</f>
        <v>0.99772673991323158</v>
      </c>
      <c r="L41" s="17">
        <f>($B$1/1000)*((L5+1)/1.01325)*(273.15/(273.15+A41))</f>
        <v>1.1061752985994524</v>
      </c>
      <c r="M41" s="17">
        <f>($B$1/1000)*((M5+1)/1.01325)*(273.15/(273.15+A41))</f>
        <v>1.2146238572856729</v>
      </c>
      <c r="N41" s="17">
        <f>($B$1/1000)*((N5+1)/1.01325)*(273.15/(273.15+A41))</f>
        <v>1.3230724159718938</v>
      </c>
      <c r="O41" s="17">
        <f>($B$1/1000)*((O5+1)/1.01325)*(273.15/(273.15+A41))</f>
        <v>1.4315209746581146</v>
      </c>
      <c r="P41" s="17">
        <f>($B$1/1000)*((P5+1)/1.01325)*(273.15/(273.15+A41))</f>
        <v>1.5399695333443353</v>
      </c>
      <c r="Q41" s="17">
        <f>($B$1/1000)*((Q5+1)/1.01325)*(273.15/(273.15+A41))</f>
        <v>1.6484180920305564</v>
      </c>
      <c r="R41" s="17">
        <f>($B$1/1000)*((R5+1)/1.01325)*(273.15/(273.15+A41))</f>
        <v>1.7568666507167772</v>
      </c>
      <c r="S41" s="17">
        <f>($B$1/1000)*((S5+1)/1.01325)*(273.15/(273.15+A41))</f>
        <v>1.8653152094029977</v>
      </c>
      <c r="T41" s="17">
        <f>($B$1/1000)*((T5+1)/1.01325)*(273.15/(273.15+A41))</f>
        <v>1.9737637680892188</v>
      </c>
      <c r="U41" s="17">
        <f>($B$1/1000)*((U5+1)/1.01325)*(273.15/(273.15+A41))</f>
        <v>2.0822123267754398</v>
      </c>
      <c r="V41" s="17">
        <f>($B$1/1000)*((V5+1)/1.01325)*(273.15/(273.15+A41))</f>
        <v>2.1906608854616603</v>
      </c>
      <c r="W41" s="17">
        <f>($B$1/1000)*((W5+1)/1.01325)*(273.15/(273.15+A41))</f>
        <v>2.2991094441478812</v>
      </c>
      <c r="X41" s="17">
        <f>($B$1/1000)*((X5+1)/1.01325)*(273.15/(273.15+A41))</f>
        <v>2.4075580028341022</v>
      </c>
      <c r="Y41" s="17">
        <f>($B$1/1000)*((Y5+1)/1.01325)*(273.15/(273.15+A41))</f>
        <v>2.5160065615203226</v>
      </c>
      <c r="Z41" s="17">
        <f>($B$1/1000)*((Z5+1)/1.01325)*(273.15/(273.15+A41))</f>
        <v>2.6244551202065436</v>
      </c>
      <c r="AA41" s="17">
        <f>($B$1/1000)*((AA5+1)/1.01325)*(273.15/(273.15+A41))</f>
        <v>2.7329036788927645</v>
      </c>
      <c r="AB41" s="17">
        <f>($B$1/1000)*((AB5+1)/1.01325)*(273.15/(273.15+A41))</f>
        <v>2.841352237578985</v>
      </c>
      <c r="AC41" s="17">
        <f>($B$1/1000)*((AC5+1)/1.01325)*(273.15/(273.15+A41))</f>
        <v>2.9498007962652055</v>
      </c>
      <c r="AD41" s="17">
        <f>($B$1/1000)*((AD5+1)/1.01325)*(273.15/(273.15+A41))</f>
        <v>3.0582493549514269</v>
      </c>
      <c r="AE41" s="17">
        <f>($B$1/1000)*((AE5+1)/1.01325)*(273.15/(273.15+A41))</f>
        <v>3.1666979136376474</v>
      </c>
      <c r="AF41" s="17">
        <f>($B$1/1000)*((AF5+1)/1.01325)*(273.15/(273.15+A41))</f>
        <v>3.2751464723238684</v>
      </c>
      <c r="AG41" s="17">
        <f>($B$1/1000)*((AG5+1)/1.01325)*(273.15/(273.15+A41))</f>
        <v>3.3835950310100893</v>
      </c>
      <c r="AH41" s="17">
        <f>($B$1/1000)*((AH5+1)/1.01325)*(273.15/(273.15+A41))</f>
        <v>3.4920435896963102</v>
      </c>
      <c r="AI41" s="17">
        <f>($B$1/1000)*((AI5+1)/1.01325)*(273.15/(273.15+A41))</f>
        <v>3.6004921483825307</v>
      </c>
      <c r="AJ41" s="17">
        <f>($B$1/1000)*((AJ5+1)/1.01325)*(273.15/(273.15+A41))</f>
        <v>3.7089407070687517</v>
      </c>
      <c r="AK41" s="17">
        <f>($B$1/1000)*((AK5+1)/1.01325)*(273.15/(273.15+A41))</f>
        <v>3.8173892657549726</v>
      </c>
      <c r="AL41" s="17">
        <f>($B$1/1000)*((AL5+1)/1.01325)*(273.15/(273.15+A41))</f>
        <v>3.9258378244411931</v>
      </c>
      <c r="AM41" s="17">
        <f>($B$1/1000)*((AM5+1)/1.01325)*(273.15/(273.15+A41))</f>
        <v>4.0342863831274141</v>
      </c>
      <c r="AN41" s="17">
        <f>($B$1/1000)*((AN5+1)/1.01325)*(273.15/(273.15+A41))</f>
        <v>4.142734941813635</v>
      </c>
      <c r="AO41" s="17">
        <f>($B$1/1000)*((AO5+1)/1.01325)*(273.15/(273.15+A41))</f>
        <v>4.2511835004998559</v>
      </c>
      <c r="AP41" s="17">
        <f>($B$1/1000)*((AP5+1)/1.01325)*(273.15/(273.15+A41))</f>
        <v>4.3596320591860769</v>
      </c>
      <c r="AQ41" s="17">
        <f>($B$1/1000)*((AQ5+1)/1.01325)*(273.15/(273.15+A41))</f>
        <v>4.4680806178722969</v>
      </c>
      <c r="AR41" s="17">
        <f>($B$1/1000)*((AR5+1)/1.01325)*(273.15/(273.15+A41))</f>
        <v>4.5765291765585179</v>
      </c>
      <c r="AS41" s="17">
        <f>($B$1/1000)*((AS5+1)/1.01325)*(273.15/(273.15+A41))</f>
        <v>4.6849777352447388</v>
      </c>
      <c r="AT41" s="17">
        <f>($B$1/1000)*((AT5+1)/1.01325)*(273.15/(273.15+A41))</f>
        <v>4.7934262939309598</v>
      </c>
      <c r="AU41" s="17">
        <f>($B$1/1000)*((AU5+1)/1.01325)*(273.15/(273.15+A41))</f>
        <v>4.9018748526171807</v>
      </c>
      <c r="AV41" s="17">
        <f>($B$1/1000)*((AV5+1)/1.01325)*(273.15/(273.15+A41))</f>
        <v>5.0103234113034016</v>
      </c>
      <c r="AW41" s="17">
        <f>($B$1/1000)*((AW5+1)/1.01325)*(273.15/(273.15+A41))</f>
        <v>5.1187719699896217</v>
      </c>
      <c r="AX41" s="17">
        <f>($B$1/1000)*((AX5+1)/1.01325)*(273.15/(273.15+A41))</f>
        <v>5.2272205286758426</v>
      </c>
      <c r="AY41" s="17">
        <f>($B$1/1000)*((AY5+1)/1.01325)*(273.15/(273.15+A41))</f>
        <v>5.3356690873620636</v>
      </c>
      <c r="AZ41" s="17">
        <f>($B$1/1000)*((AZ5+1)/1.01325)*(273.15/(273.15+A41))</f>
        <v>5.4441176460482845</v>
      </c>
      <c r="BA41" s="17">
        <f>($B$1/1000)*((BA5+1)/1.01325)*(273.15/(273.15+A41))</f>
        <v>5.5525662047345055</v>
      </c>
      <c r="BB41" s="17">
        <f>($B$1/1000)*((BB5+1)/1.01325)*(273.15/(273.15+A41))</f>
        <v>5.6610147634207264</v>
      </c>
      <c r="BC41" s="17">
        <f>($B$1/1000)*((BC5+1)/1.01325)*(273.15/(273.15+A41))</f>
        <v>5.7694633221069465</v>
      </c>
      <c r="BD41" s="17">
        <f>($B$1/1000)*((BD5+1)/1.01325)*(273.15/(273.15+A41))</f>
        <v>5.8779118807931665</v>
      </c>
      <c r="BE41" s="17">
        <f>($B$1/1000)*((BE5+1)/1.01325)*(273.15/(273.15+A41))</f>
        <v>5.9863604394793883</v>
      </c>
      <c r="BF41" s="17">
        <f>($B$1/1000)*((BF5+1)/1.01325)*(273.15/(273.15+A41))</f>
        <v>6.0948089981656093</v>
      </c>
      <c r="BG41" s="17">
        <f>($B$1/1000)*((BG5+1)/1.01325)*(273.15/(273.15+A41))</f>
        <v>6.2032575568518302</v>
      </c>
      <c r="BH41" s="17">
        <f>($B$1/1000)*((BH5+1)/1.01325)*(273.15/(273.15+A41))</f>
        <v>6.3117061155380512</v>
      </c>
      <c r="BI41" s="17">
        <f>($B$1/1000)*((BI5+1)/1.01325)*(273.15/(273.15+A41))</f>
        <v>6.4201546742242721</v>
      </c>
      <c r="BJ41" s="17">
        <f>($B$1/1000)*((BJ5+1)/1.01325)*(273.15/(273.15+A41))</f>
        <v>6.5286032329104922</v>
      </c>
    </row>
    <row r="42" spans="1:62" ht="18.75">
      <c r="A42" s="3">
        <v>52</v>
      </c>
      <c r="B42" s="17">
        <f>($B$1/1000)*((B5+1)/1.01325)*(273.15/(273.15+A42))</f>
        <v>2.1556298163587423E-2</v>
      </c>
      <c r="C42" s="17">
        <f>($B$1/1000)*((C5+1)/1.01325)*(273.15/(273.15+A42))</f>
        <v>0.12933778898152454</v>
      </c>
      <c r="D42" s="17">
        <f>($B$1/1000)*((D5+1)/1.01325)*(273.15/(273.15+A42))</f>
        <v>0.23711927979946165</v>
      </c>
      <c r="E42" s="17">
        <f>($B$1/1000)*((E5+1)/1.01325)*(273.15/(273.15+A42))</f>
        <v>0.34490077061739877</v>
      </c>
      <c r="F42" s="17">
        <f>($B$1/1000)*((F5+1)/1.01325)*(273.15/(273.15+A42))</f>
        <v>0.45268226143533585</v>
      </c>
      <c r="G42" s="17">
        <f>($B$1/1000)*((G5+1)/1.01325)*(273.15/(273.15+A42))</f>
        <v>0.56046375225327305</v>
      </c>
      <c r="H42" s="17">
        <f>($B$1/1000)*((H5+1)/1.01325)*(273.15/(273.15+A42))</f>
        <v>0.66824524307121014</v>
      </c>
      <c r="I42" s="17">
        <f>($B$1/1000)*((I5+1)/1.01325)*(273.15/(273.15+A42))</f>
        <v>0.77602673388914734</v>
      </c>
      <c r="J42" s="17">
        <f>($B$1/1000)*((J5+1)/1.01325)*(273.15/(273.15+A42))</f>
        <v>0.88380822470708431</v>
      </c>
      <c r="K42" s="17">
        <f>($B$1/1000)*((K5+1)/1.01325)*(273.15/(273.15+A42))</f>
        <v>0.99158971552502162</v>
      </c>
      <c r="L42" s="17">
        <f>($B$1/1000)*((L5+1)/1.01325)*(273.15/(273.15+A42))</f>
        <v>1.0993712063429588</v>
      </c>
      <c r="M42" s="17">
        <f>($B$1/1000)*((M5+1)/1.01325)*(273.15/(273.15+A42))</f>
        <v>1.2071526971608957</v>
      </c>
      <c r="N42" s="17">
        <f>($B$1/1000)*((N5+1)/1.01325)*(273.15/(273.15+A42))</f>
        <v>1.314934187978833</v>
      </c>
      <c r="O42" s="17">
        <f>($B$1/1000)*((O5+1)/1.01325)*(273.15/(273.15+A42))</f>
        <v>1.4227156787967699</v>
      </c>
      <c r="P42" s="17">
        <f>($B$1/1000)*((P5+1)/1.01325)*(273.15/(273.15+A42))</f>
        <v>1.5304971696147069</v>
      </c>
      <c r="Q42" s="17">
        <f>($B$1/1000)*((Q5+1)/1.01325)*(273.15/(273.15+A42))</f>
        <v>1.6382786604326443</v>
      </c>
      <c r="R42" s="17">
        <f>($B$1/1000)*((R5+1)/1.01325)*(273.15/(273.15+A42))</f>
        <v>1.7460601512505813</v>
      </c>
      <c r="S42" s="17">
        <f>($B$1/1000)*((S5+1)/1.01325)*(273.15/(273.15+A42))</f>
        <v>1.8538416420685182</v>
      </c>
      <c r="T42" s="17">
        <f>($B$1/1000)*((T5+1)/1.01325)*(273.15/(273.15+A42))</f>
        <v>1.9616231328864557</v>
      </c>
      <c r="U42" s="17">
        <f>($B$1/1000)*((U5+1)/1.01325)*(273.15/(273.15+A42))</f>
        <v>2.0694046237043926</v>
      </c>
      <c r="V42" s="17">
        <f>($B$1/1000)*((V5+1)/1.01325)*(273.15/(273.15+A42))</f>
        <v>2.1771861145223297</v>
      </c>
      <c r="W42" s="17">
        <f>($B$1/1000)*((W5+1)/1.01325)*(273.15/(273.15+A42))</f>
        <v>2.2849676053402668</v>
      </c>
      <c r="X42" s="17">
        <f>($B$1/1000)*((X5+1)/1.01325)*(273.15/(273.15+A42))</f>
        <v>2.3927490961582043</v>
      </c>
      <c r="Y42" s="17">
        <f>($B$1/1000)*((Y5+1)/1.01325)*(273.15/(273.15+A42))</f>
        <v>2.5005305869761414</v>
      </c>
      <c r="Z42" s="17">
        <f>($B$1/1000)*((Z5+1)/1.01325)*(273.15/(273.15+A42))</f>
        <v>2.6083120777940785</v>
      </c>
      <c r="AA42" s="17">
        <f>($B$1/1000)*((AA5+1)/1.01325)*(273.15/(273.15+A42))</f>
        <v>2.7160935686120156</v>
      </c>
      <c r="AB42" s="17">
        <f>($B$1/1000)*((AB5+1)/1.01325)*(273.15/(273.15+A42))</f>
        <v>2.8238750594299522</v>
      </c>
      <c r="AC42" s="17">
        <f>($B$1/1000)*((AC5+1)/1.01325)*(273.15/(273.15+A42))</f>
        <v>2.9316565502478893</v>
      </c>
      <c r="AD42" s="17">
        <f>($B$1/1000)*((AD5+1)/1.01325)*(273.15/(273.15+A42))</f>
        <v>3.0394380410658268</v>
      </c>
      <c r="AE42" s="17">
        <f>($B$1/1000)*((AE5+1)/1.01325)*(273.15/(273.15+A42))</f>
        <v>3.1472195318837639</v>
      </c>
      <c r="AF42" s="17">
        <f>($B$1/1000)*((AF5+1)/1.01325)*(273.15/(273.15+A42))</f>
        <v>3.255001022701701</v>
      </c>
      <c r="AG42" s="17">
        <f>($B$1/1000)*((AG5+1)/1.01325)*(273.15/(273.15+A42))</f>
        <v>3.3627825135196381</v>
      </c>
      <c r="AH42" s="17">
        <f>($B$1/1000)*((AH5+1)/1.01325)*(273.15/(273.15+A42))</f>
        <v>3.4705640043375752</v>
      </c>
      <c r="AI42" s="17">
        <f>($B$1/1000)*((AI5+1)/1.01325)*(273.15/(273.15+A42))</f>
        <v>3.5783454951555123</v>
      </c>
      <c r="AJ42" s="17">
        <f>($B$1/1000)*((AJ5+1)/1.01325)*(273.15/(273.15+A42))</f>
        <v>3.6861269859734493</v>
      </c>
      <c r="AK42" s="17">
        <f>($B$1/1000)*((AK5+1)/1.01325)*(273.15/(273.15+A42))</f>
        <v>3.7939084767913864</v>
      </c>
      <c r="AL42" s="17">
        <f>($B$1/1000)*((AL5+1)/1.01325)*(273.15/(273.15+A42))</f>
        <v>3.9016899676093235</v>
      </c>
      <c r="AM42" s="17">
        <f>($B$1/1000)*((AM5+1)/1.01325)*(273.15/(273.15+A42))</f>
        <v>4.009471458427261</v>
      </c>
      <c r="AN42" s="17">
        <f>($B$1/1000)*((AN5+1)/1.01325)*(273.15/(273.15+A42))</f>
        <v>4.1172529492451977</v>
      </c>
      <c r="AO42" s="17">
        <f>($B$1/1000)*((AO5+1)/1.01325)*(273.15/(273.15+A42))</f>
        <v>4.2250344400631352</v>
      </c>
      <c r="AP42" s="17">
        <f>($B$1/1000)*((AP5+1)/1.01325)*(273.15/(273.15+A42))</f>
        <v>4.3328159308810719</v>
      </c>
      <c r="AQ42" s="17">
        <f>($B$1/1000)*((AQ5+1)/1.01325)*(273.15/(273.15+A42))</f>
        <v>4.4405974216990094</v>
      </c>
      <c r="AR42" s="17">
        <f>($B$1/1000)*((AR5+1)/1.01325)*(273.15/(273.15+A42))</f>
        <v>4.548378912516946</v>
      </c>
      <c r="AS42" s="17">
        <f>($B$1/1000)*((AS5+1)/1.01325)*(273.15/(273.15+A42))</f>
        <v>4.6561604033348836</v>
      </c>
      <c r="AT42" s="17">
        <f>($B$1/1000)*((AT5+1)/1.01325)*(273.15/(273.15+A42))</f>
        <v>4.7639418941528202</v>
      </c>
      <c r="AU42" s="17">
        <f>($B$1/1000)*((AU5+1)/1.01325)*(273.15/(273.15+A42))</f>
        <v>4.8717233849707577</v>
      </c>
      <c r="AV42" s="17">
        <f>($B$1/1000)*((AV5+1)/1.01325)*(273.15/(273.15+A42))</f>
        <v>4.9795048757886953</v>
      </c>
      <c r="AW42" s="17">
        <f>($B$1/1000)*((AW5+1)/1.01325)*(273.15/(273.15+A42))</f>
        <v>5.0872863666066319</v>
      </c>
      <c r="AX42" s="17">
        <f>($B$1/1000)*((AX5+1)/1.01325)*(273.15/(273.15+A42))</f>
        <v>5.1950678574245694</v>
      </c>
      <c r="AY42" s="17">
        <f>($B$1/1000)*((AY5+1)/1.01325)*(273.15/(273.15+A42))</f>
        <v>5.3028493482425061</v>
      </c>
      <c r="AZ42" s="17">
        <f>($B$1/1000)*((AZ5+1)/1.01325)*(273.15/(273.15+A42))</f>
        <v>5.4106308390604436</v>
      </c>
      <c r="BA42" s="17">
        <f>($B$1/1000)*((BA5+1)/1.01325)*(273.15/(273.15+A42))</f>
        <v>5.5184123298783803</v>
      </c>
      <c r="BB42" s="17">
        <f>($B$1/1000)*((BB5+1)/1.01325)*(273.15/(273.15+A42))</f>
        <v>5.6261938206963187</v>
      </c>
      <c r="BC42" s="17">
        <f>($B$1/1000)*((BC5+1)/1.01325)*(273.15/(273.15+A42))</f>
        <v>5.7339753115142544</v>
      </c>
      <c r="BD42" s="17">
        <f>($B$1/1000)*((BD5+1)/1.01325)*(273.15/(273.15+A42))</f>
        <v>5.8417568023321911</v>
      </c>
      <c r="BE42" s="17">
        <f>($B$1/1000)*((BE5+1)/1.01325)*(273.15/(273.15+A42))</f>
        <v>5.9495382931501286</v>
      </c>
      <c r="BF42" s="17">
        <f>($B$1/1000)*((BF5+1)/1.01325)*(273.15/(273.15+A42))</f>
        <v>6.0573197839680661</v>
      </c>
      <c r="BG42" s="17">
        <f>($B$1/1000)*((BG5+1)/1.01325)*(273.15/(273.15+A42))</f>
        <v>6.1651012747860028</v>
      </c>
      <c r="BH42" s="17">
        <f>($B$1/1000)*((BH5+1)/1.01325)*(273.15/(273.15+A42))</f>
        <v>6.2728827656039403</v>
      </c>
      <c r="BI42" s="17">
        <f>($B$1/1000)*((BI5+1)/1.01325)*(273.15/(273.15+A42))</f>
        <v>6.3806642564218778</v>
      </c>
      <c r="BJ42" s="17">
        <f>($B$1/1000)*((BJ5+1)/1.01325)*(273.15/(273.15+A42))</f>
        <v>6.4884457472398145</v>
      </c>
    </row>
    <row r="43" spans="1:62" ht="18.75">
      <c r="A43" s="3">
        <v>54</v>
      </c>
      <c r="B43" s="17">
        <f>($B$1/1000)*((B5+1)/1.01325)*(273.15/(273.15+A43))</f>
        <v>2.1424515811983649E-2</v>
      </c>
      <c r="C43" s="17">
        <f>($B$1/1000)*((C5+1)/1.01325)*(273.15/(273.15+A43))</f>
        <v>0.12854709487190191</v>
      </c>
      <c r="D43" s="17">
        <f>($B$1/1000)*((D5+1)/1.01325)*(273.15/(273.15+A43))</f>
        <v>0.23566967393182015</v>
      </c>
      <c r="E43" s="17">
        <f>($B$1/1000)*((E5+1)/1.01325)*(273.15/(273.15+A43))</f>
        <v>0.34279225299173838</v>
      </c>
      <c r="F43" s="17">
        <f>($B$1/1000)*((F5+1)/1.01325)*(273.15/(273.15+A43))</f>
        <v>0.44991483205165655</v>
      </c>
      <c r="G43" s="17">
        <f>($B$1/1000)*((G5+1)/1.01325)*(273.15/(273.15+A43))</f>
        <v>0.5570374111115749</v>
      </c>
      <c r="H43" s="17">
        <f>($B$1/1000)*((H5+1)/1.01325)*(273.15/(273.15+A43))</f>
        <v>0.66415999017149319</v>
      </c>
      <c r="I43" s="17">
        <f>($B$1/1000)*((I5+1)/1.01325)*(273.15/(273.15+A43))</f>
        <v>0.77128256923141136</v>
      </c>
      <c r="J43" s="17">
        <f>($B$1/1000)*((J5+1)/1.01325)*(273.15/(273.15+A43))</f>
        <v>0.87840514829132954</v>
      </c>
      <c r="K43" s="17">
        <f>($B$1/1000)*((K5+1)/1.01325)*(273.15/(273.15+A43))</f>
        <v>0.98552772735124794</v>
      </c>
      <c r="L43" s="17">
        <f>($B$1/1000)*((L5+1)/1.01325)*(273.15/(273.15+A43))</f>
        <v>1.0926503064111661</v>
      </c>
      <c r="M43" s="17">
        <f>($B$1/1000)*((M5+1)/1.01325)*(273.15/(273.15+A43))</f>
        <v>1.1997728854710843</v>
      </c>
      <c r="N43" s="17">
        <f>($B$1/1000)*((N5+1)/1.01325)*(273.15/(273.15+A43))</f>
        <v>1.3068954645310027</v>
      </c>
      <c r="O43" s="17">
        <f>($B$1/1000)*((O5+1)/1.01325)*(273.15/(273.15+A43))</f>
        <v>1.4140180435909209</v>
      </c>
      <c r="P43" s="17">
        <f>($B$1/1000)*((P5+1)/1.01325)*(273.15/(273.15+A43))</f>
        <v>1.521140622650839</v>
      </c>
      <c r="Q43" s="17">
        <f>($B$1/1000)*((Q5+1)/1.01325)*(273.15/(273.15+A43))</f>
        <v>1.6282632017107574</v>
      </c>
      <c r="R43" s="17">
        <f>($B$1/1000)*((R5+1)/1.01325)*(273.15/(273.15+A43))</f>
        <v>1.7353857807706756</v>
      </c>
      <c r="S43" s="17">
        <f>($B$1/1000)*((S5+1)/1.01325)*(273.15/(273.15+A43))</f>
        <v>1.8425083598305936</v>
      </c>
      <c r="T43" s="17">
        <f>($B$1/1000)*((T5+1)/1.01325)*(273.15/(273.15+A43))</f>
        <v>1.9496309388905122</v>
      </c>
      <c r="U43" s="17">
        <f>($B$1/1000)*((U5+1)/1.01325)*(273.15/(273.15+A43))</f>
        <v>2.0567535179504306</v>
      </c>
      <c r="V43" s="17">
        <f>($B$1/1000)*((V5+1)/1.01325)*(273.15/(273.15+A43))</f>
        <v>2.1638760970103488</v>
      </c>
      <c r="W43" s="17">
        <f>($B$1/1000)*((W5+1)/1.01325)*(273.15/(273.15+A43))</f>
        <v>2.270998676070267</v>
      </c>
      <c r="X43" s="17">
        <f>($B$1/1000)*((X5+1)/1.01325)*(273.15/(273.15+A43))</f>
        <v>2.3781212551301851</v>
      </c>
      <c r="Y43" s="17">
        <f>($B$1/1000)*((Y5+1)/1.01325)*(273.15/(273.15+A43))</f>
        <v>2.4852438341901033</v>
      </c>
      <c r="Z43" s="17">
        <f>($B$1/1000)*((Z5+1)/1.01325)*(273.15/(273.15+A43))</f>
        <v>2.5923664132500215</v>
      </c>
      <c r="AA43" s="17">
        <f>($B$1/1000)*((AA5+1)/1.01325)*(273.15/(273.15+A43))</f>
        <v>2.6994889923099397</v>
      </c>
      <c r="AB43" s="17">
        <f>($B$1/1000)*((AB5+1)/1.01325)*(273.15/(273.15+A43))</f>
        <v>2.8066115713698578</v>
      </c>
      <c r="AC43" s="17">
        <f>($B$1/1000)*((AC5+1)/1.01325)*(273.15/(273.15+A43))</f>
        <v>2.913734150429776</v>
      </c>
      <c r="AD43" s="17">
        <f>($B$1/1000)*((AD5+1)/1.01325)*(273.15/(273.15+A43))</f>
        <v>3.0208567294896946</v>
      </c>
      <c r="AE43" s="17">
        <f>($B$1/1000)*((AE5+1)/1.01325)*(273.15/(273.15+A43))</f>
        <v>3.1279793085496128</v>
      </c>
      <c r="AF43" s="17">
        <f>($B$1/1000)*((AF5+1)/1.01325)*(273.15/(273.15+A43))</f>
        <v>3.235101887609531</v>
      </c>
      <c r="AG43" s="17">
        <f>($B$1/1000)*((AG5+1)/1.01325)*(273.15/(273.15+A43))</f>
        <v>3.3422244666694492</v>
      </c>
      <c r="AH43" s="17">
        <f>($B$1/1000)*((AH5+1)/1.01325)*(273.15/(273.15+A43))</f>
        <v>3.4493470457293673</v>
      </c>
      <c r="AI43" s="17">
        <f>($B$1/1000)*((AI5+1)/1.01325)*(273.15/(273.15+A43))</f>
        <v>3.556469624789286</v>
      </c>
      <c r="AJ43" s="17">
        <f>($B$1/1000)*((AJ5+1)/1.01325)*(273.15/(273.15+A43))</f>
        <v>3.6635922038492041</v>
      </c>
      <c r="AK43" s="17">
        <f>($B$1/1000)*((AK5+1)/1.01325)*(273.15/(273.15+A43))</f>
        <v>3.7707147829091223</v>
      </c>
      <c r="AL43" s="17">
        <f>($B$1/1000)*((AL5+1)/1.01325)*(273.15/(273.15+A43))</f>
        <v>3.8778373619690405</v>
      </c>
      <c r="AM43" s="17">
        <f>($B$1/1000)*((AM5+1)/1.01325)*(273.15/(273.15+A43))</f>
        <v>3.9849599410289587</v>
      </c>
      <c r="AN43" s="17">
        <f>($B$1/1000)*((AN5+1)/1.01325)*(273.15/(273.15+A43))</f>
        <v>4.0920825200888773</v>
      </c>
      <c r="AO43" s="17">
        <f>($B$1/1000)*((AO5+1)/1.01325)*(273.15/(273.15+A43))</f>
        <v>4.199205099148795</v>
      </c>
      <c r="AP43" s="17">
        <f>($B$1/1000)*((AP5+1)/1.01325)*(273.15/(273.15+A43))</f>
        <v>4.3063276782087136</v>
      </c>
      <c r="AQ43" s="17">
        <f>($B$1/1000)*((AQ5+1)/1.01325)*(273.15/(273.15+A43))</f>
        <v>4.4134502572686314</v>
      </c>
      <c r="AR43" s="17">
        <f>($B$1/1000)*((AR5+1)/1.01325)*(273.15/(273.15+A43))</f>
        <v>4.52057283632855</v>
      </c>
      <c r="AS43" s="17">
        <f>($B$1/1000)*((AS5+1)/1.01325)*(273.15/(273.15+A43))</f>
        <v>4.6276954153884686</v>
      </c>
      <c r="AT43" s="17">
        <f>($B$1/1000)*((AT5+1)/1.01325)*(273.15/(273.15+A43))</f>
        <v>4.7348179944483864</v>
      </c>
      <c r="AU43" s="17">
        <f>($B$1/1000)*((AU5+1)/1.01325)*(273.15/(273.15+A43))</f>
        <v>4.841940573508305</v>
      </c>
      <c r="AV43" s="17">
        <f>($B$1/1000)*((AV5+1)/1.01325)*(273.15/(273.15+A43))</f>
        <v>4.9490631525682227</v>
      </c>
      <c r="AW43" s="17">
        <f>($B$1/1000)*((AW5+1)/1.01325)*(273.15/(273.15+A43))</f>
        <v>5.0561857316281413</v>
      </c>
      <c r="AX43" s="17">
        <f>($B$1/1000)*((AX5+1)/1.01325)*(273.15/(273.15+A43))</f>
        <v>5.1633083106880591</v>
      </c>
      <c r="AY43" s="17">
        <f>($B$1/1000)*((AY5+1)/1.01325)*(273.15/(273.15+A43))</f>
        <v>5.2704308897479777</v>
      </c>
      <c r="AZ43" s="17">
        <f>($B$1/1000)*((AZ5+1)/1.01325)*(273.15/(273.15+A43))</f>
        <v>5.3775534688078963</v>
      </c>
      <c r="BA43" s="17">
        <f>($B$1/1000)*((BA5+1)/1.01325)*(273.15/(273.15+A43))</f>
        <v>5.484676047867814</v>
      </c>
      <c r="BB43" s="17">
        <f>($B$1/1000)*((BB5+1)/1.01325)*(273.15/(273.15+A43))</f>
        <v>5.5917986269277336</v>
      </c>
      <c r="BC43" s="17">
        <f>($B$1/1000)*((BC5+1)/1.01325)*(273.15/(273.15+A43))</f>
        <v>5.6989212059876504</v>
      </c>
      <c r="BD43" s="17">
        <f>($B$1/1000)*((BD5+1)/1.01325)*(273.15/(273.15+A43))</f>
        <v>5.8060437850475681</v>
      </c>
      <c r="BE43" s="17">
        <f>($B$1/1000)*((BE5+1)/1.01325)*(273.15/(273.15+A43))</f>
        <v>5.9131663641074867</v>
      </c>
      <c r="BF43" s="17">
        <f>($B$1/1000)*((BF5+1)/1.01325)*(273.15/(273.15+A43))</f>
        <v>6.0202889431674054</v>
      </c>
      <c r="BG43" s="17">
        <f>($B$1/1000)*((BG5+1)/1.01325)*(273.15/(273.15+A43))</f>
        <v>6.127411522227324</v>
      </c>
      <c r="BH43" s="17">
        <f>($B$1/1000)*((BH5+1)/1.01325)*(273.15/(273.15+A43))</f>
        <v>6.2345341012872417</v>
      </c>
      <c r="BI43" s="17">
        <f>($B$1/1000)*((BI5+1)/1.01325)*(273.15/(273.15+A43))</f>
        <v>6.3416566803471612</v>
      </c>
      <c r="BJ43" s="17">
        <f>($B$1/1000)*((BJ5+1)/1.01325)*(273.15/(273.15+A43))</f>
        <v>6.4487792594070781</v>
      </c>
    </row>
    <row r="44" spans="1:62" ht="18.75">
      <c r="A44" s="3">
        <v>56</v>
      </c>
      <c r="B44" s="17">
        <f>($B$1/1000)*((B5+1)/1.01325)*(273.15/(273.15+A44))</f>
        <v>2.1294334947259456E-2</v>
      </c>
      <c r="C44" s="17">
        <f>($B$1/1000)*((C5+1)/1.01325)*(273.15/(273.15+A44))</f>
        <v>0.12776600968355675</v>
      </c>
      <c r="D44" s="17">
        <f>($B$1/1000)*((D5+1)/1.01325)*(273.15/(273.15+A44))</f>
        <v>0.23423768441985404</v>
      </c>
      <c r="E44" s="17">
        <f>($B$1/1000)*((E5+1)/1.01325)*(273.15/(273.15+A44))</f>
        <v>0.3407093591561513</v>
      </c>
      <c r="F44" s="17">
        <f>($B$1/1000)*((F5+1)/1.01325)*(273.15/(273.15+A44))</f>
        <v>0.44718103389244857</v>
      </c>
      <c r="G44" s="17">
        <f>($B$1/1000)*((G5+1)/1.01325)*(273.15/(273.15+A44))</f>
        <v>0.55365270862874594</v>
      </c>
      <c r="H44" s="17">
        <f>($B$1/1000)*((H5+1)/1.01325)*(273.15/(273.15+A44))</f>
        <v>0.6601243833650432</v>
      </c>
      <c r="I44" s="17">
        <f>($B$1/1000)*((I5+1)/1.01325)*(273.15/(273.15+A44))</f>
        <v>0.76659605810134057</v>
      </c>
      <c r="J44" s="17">
        <f>($B$1/1000)*((J5+1)/1.01325)*(273.15/(273.15+A44))</f>
        <v>0.87306773283763772</v>
      </c>
      <c r="K44" s="17">
        <f>($B$1/1000)*((K5+1)/1.01325)*(273.15/(273.15+A44))</f>
        <v>0.97953940757393521</v>
      </c>
      <c r="L44" s="17">
        <f>($B$1/1000)*((L5+1)/1.01325)*(273.15/(273.15+A44))</f>
        <v>1.0860110823102325</v>
      </c>
      <c r="M44" s="17">
        <f>($B$1/1000)*((M5+1)/1.01325)*(273.15/(273.15+A44))</f>
        <v>1.1924827570465295</v>
      </c>
      <c r="N44" s="17">
        <f>($B$1/1000)*((N5+1)/1.01325)*(273.15/(273.15+A44))</f>
        <v>1.298954431782827</v>
      </c>
      <c r="O44" s="17">
        <f>($B$1/1000)*((O5+1)/1.01325)*(273.15/(273.15+A44))</f>
        <v>1.4054261065191243</v>
      </c>
      <c r="P44" s="17">
        <f>($B$1/1000)*((P5+1)/1.01325)*(273.15/(273.15+A44))</f>
        <v>1.5118977812554215</v>
      </c>
      <c r="Q44" s="17">
        <f>($B$1/1000)*((Q5+1)/1.01325)*(273.15/(273.15+A44))</f>
        <v>1.618369455991719</v>
      </c>
      <c r="R44" s="17">
        <f>($B$1/1000)*((R5+1)/1.01325)*(273.15/(273.15+A44))</f>
        <v>1.7248411307280163</v>
      </c>
      <c r="S44" s="17">
        <f>($B$1/1000)*((S5+1)/1.01325)*(273.15/(273.15+A44))</f>
        <v>1.8313128054643131</v>
      </c>
      <c r="T44" s="17">
        <f>($B$1/1000)*((T5+1)/1.01325)*(273.15/(273.15+A44))</f>
        <v>1.9377844802006108</v>
      </c>
      <c r="U44" s="17">
        <f>($B$1/1000)*((U5+1)/1.01325)*(273.15/(273.15+A44))</f>
        <v>2.044256154936908</v>
      </c>
      <c r="V44" s="17">
        <f>($B$1/1000)*((V5+1)/1.01325)*(273.15/(273.15+A44))</f>
        <v>2.1507278296732055</v>
      </c>
      <c r="W44" s="17">
        <f>($B$1/1000)*((W5+1)/1.01325)*(273.15/(273.15+A44))</f>
        <v>2.2571995044095026</v>
      </c>
      <c r="X44" s="17">
        <f>($B$1/1000)*((X5+1)/1.01325)*(273.15/(273.15+A44))</f>
        <v>2.3636711791458</v>
      </c>
      <c r="Y44" s="17">
        <f>($B$1/1000)*((Y5+1)/1.01325)*(273.15/(273.15+A44))</f>
        <v>2.4701428538820971</v>
      </c>
      <c r="Z44" s="17">
        <f>($B$1/1000)*((Z5+1)/1.01325)*(273.15/(273.15+A44))</f>
        <v>2.5766145286183946</v>
      </c>
      <c r="AA44" s="17">
        <f>($B$1/1000)*((AA5+1)/1.01325)*(273.15/(273.15+A44))</f>
        <v>2.6830862033546916</v>
      </c>
      <c r="AB44" s="17">
        <f>($B$1/1000)*((AB5+1)/1.01325)*(273.15/(273.15+A44))</f>
        <v>2.7895578780909887</v>
      </c>
      <c r="AC44" s="17">
        <f>($B$1/1000)*((AC5+1)/1.01325)*(273.15/(273.15+A44))</f>
        <v>2.8960295528272861</v>
      </c>
      <c r="AD44" s="17">
        <f>($B$1/1000)*((AD5+1)/1.01325)*(273.15/(273.15+A44))</f>
        <v>3.0025012275635836</v>
      </c>
      <c r="AE44" s="17">
        <f>($B$1/1000)*((AE5+1)/1.01325)*(273.15/(273.15+A44))</f>
        <v>3.1089729022998811</v>
      </c>
      <c r="AF44" s="17">
        <f>($B$1/1000)*((AF5+1)/1.01325)*(273.15/(273.15+A44))</f>
        <v>3.2154445770361781</v>
      </c>
      <c r="AG44" s="17">
        <f>($B$1/1000)*((AG5+1)/1.01325)*(273.15/(273.15+A44))</f>
        <v>3.3219162517724756</v>
      </c>
      <c r="AH44" s="17">
        <f>($B$1/1000)*((AH5+1)/1.01325)*(273.15/(273.15+A44))</f>
        <v>3.4283879265087727</v>
      </c>
      <c r="AI44" s="17">
        <f>($B$1/1000)*((AI5+1)/1.01325)*(273.15/(273.15+A44))</f>
        <v>3.5348596012450701</v>
      </c>
      <c r="AJ44" s="17">
        <f>($B$1/1000)*((AJ5+1)/1.01325)*(273.15/(273.15+A44))</f>
        <v>3.6413312759813672</v>
      </c>
      <c r="AK44" s="17">
        <f>($B$1/1000)*((AK5+1)/1.01325)*(273.15/(273.15+A44))</f>
        <v>3.7478029507176647</v>
      </c>
      <c r="AL44" s="17">
        <f>($B$1/1000)*((AL5+1)/1.01325)*(273.15/(273.15+A44))</f>
        <v>3.8542746254539622</v>
      </c>
      <c r="AM44" s="17">
        <f>($B$1/1000)*((AM5+1)/1.01325)*(273.15/(273.15+A44))</f>
        <v>3.9607463001902592</v>
      </c>
      <c r="AN44" s="17">
        <f>($B$1/1000)*((AN5+1)/1.01325)*(273.15/(273.15+A44))</f>
        <v>4.0672179749265567</v>
      </c>
      <c r="AO44" s="17">
        <f>($B$1/1000)*((AO5+1)/1.01325)*(273.15/(273.15+A44))</f>
        <v>4.1736896496628537</v>
      </c>
      <c r="AP44" s="17">
        <f>($B$1/1000)*((AP5+1)/1.01325)*(273.15/(273.15+A44))</f>
        <v>4.2801613243991508</v>
      </c>
      <c r="AQ44" s="17">
        <f>($B$1/1000)*((AQ5+1)/1.01325)*(273.15/(273.15+A44))</f>
        <v>4.3866329991354487</v>
      </c>
      <c r="AR44" s="17">
        <f>($B$1/1000)*((AR5+1)/1.01325)*(273.15/(273.15+A44))</f>
        <v>4.4931046738717457</v>
      </c>
      <c r="AS44" s="17">
        <f>($B$1/1000)*((AS5+1)/1.01325)*(273.15/(273.15+A44))</f>
        <v>4.5995763486080428</v>
      </c>
      <c r="AT44" s="17">
        <f>($B$1/1000)*((AT5+1)/1.01325)*(273.15/(273.15+A44))</f>
        <v>4.7060480233443407</v>
      </c>
      <c r="AU44" s="17">
        <f>($B$1/1000)*((AU5+1)/1.01325)*(273.15/(273.15+A44))</f>
        <v>4.8125196980806377</v>
      </c>
      <c r="AV44" s="17">
        <f>($B$1/1000)*((AV5+1)/1.01325)*(273.15/(273.15+A44))</f>
        <v>4.9189913728169348</v>
      </c>
      <c r="AW44" s="17">
        <f>($B$1/1000)*((AW5+1)/1.01325)*(273.15/(273.15+A44))</f>
        <v>5.0254630475532318</v>
      </c>
      <c r="AX44" s="17">
        <f>($B$1/1000)*((AX5+1)/1.01325)*(273.15/(273.15+A44))</f>
        <v>5.1319347222895297</v>
      </c>
      <c r="AY44" s="17">
        <f>($B$1/1000)*((AY5+1)/1.01325)*(273.15/(273.15+A44))</f>
        <v>5.2384063970258268</v>
      </c>
      <c r="AZ44" s="17">
        <f>($B$1/1000)*((AZ5+1)/1.01325)*(273.15/(273.15+A44))</f>
        <v>5.3448780717621238</v>
      </c>
      <c r="BA44" s="17">
        <f>($B$1/1000)*((BA5+1)/1.01325)*(273.15/(273.15+A44))</f>
        <v>5.4513497464984209</v>
      </c>
      <c r="BB44" s="17">
        <f>($B$1/1000)*((BB5+1)/1.01325)*(273.15/(273.15+A44))</f>
        <v>5.5578214212347197</v>
      </c>
      <c r="BC44" s="17">
        <f>($B$1/1000)*((BC5+1)/1.01325)*(273.15/(273.15+A44))</f>
        <v>5.6642930959710158</v>
      </c>
      <c r="BD44" s="17">
        <f>($B$1/1000)*((BD5+1)/1.01325)*(273.15/(273.15+A44))</f>
        <v>5.7707647707073129</v>
      </c>
      <c r="BE44" s="17">
        <f>($B$1/1000)*((BE5+1)/1.01325)*(273.15/(273.15+A44))</f>
        <v>5.8772364454436108</v>
      </c>
      <c r="BF44" s="17">
        <f>($B$1/1000)*((BF5+1)/1.01325)*(273.15/(273.15+A44))</f>
        <v>5.9837081201799078</v>
      </c>
      <c r="BG44" s="17">
        <f>($B$1/1000)*((BG5+1)/1.01325)*(273.15/(273.15+A44))</f>
        <v>6.0901797949162049</v>
      </c>
      <c r="BH44" s="17">
        <f>($B$1/1000)*((BH5+1)/1.01325)*(273.15/(273.15+A44))</f>
        <v>6.1966514696525019</v>
      </c>
      <c r="BI44" s="17">
        <f>($B$1/1000)*((BI5+1)/1.01325)*(273.15/(273.15+A44))</f>
        <v>6.3031231443888007</v>
      </c>
      <c r="BJ44" s="17">
        <f>($B$1/1000)*((BJ5+1)/1.01325)*(273.15/(273.15+A44))</f>
        <v>6.4095948191250969</v>
      </c>
    </row>
    <row r="45" spans="1:62" ht="18.75">
      <c r="A45" s="3">
        <v>58</v>
      </c>
      <c r="B45" s="17">
        <f>($B$1/1000)*((B5+1)/1.01325)*(273.15/(273.15+A45))</f>
        <v>2.1165726552590823E-2</v>
      </c>
      <c r="C45" s="17">
        <f>($B$1/1000)*((C5+1)/1.01325)*(273.15/(273.15+A45))</f>
        <v>0.12699435931554495</v>
      </c>
      <c r="D45" s="17">
        <f>($B$1/1000)*((D5+1)/1.01325)*(273.15/(273.15+A45))</f>
        <v>0.23282299207849905</v>
      </c>
      <c r="E45" s="17">
        <f>($B$1/1000)*((E5+1)/1.01325)*(273.15/(273.15+A45))</f>
        <v>0.33865162484145317</v>
      </c>
      <c r="F45" s="17">
        <f>($B$1/1000)*((F5+1)/1.01325)*(273.15/(273.15+A45))</f>
        <v>0.44448025760440724</v>
      </c>
      <c r="G45" s="17">
        <f>($B$1/1000)*((G5+1)/1.01325)*(273.15/(273.15+A45))</f>
        <v>0.55030889036736141</v>
      </c>
      <c r="H45" s="17">
        <f>($B$1/1000)*((H5+1)/1.01325)*(273.15/(273.15+A45))</f>
        <v>0.65613752313031548</v>
      </c>
      <c r="I45" s="17">
        <f>($B$1/1000)*((I5+1)/1.01325)*(273.15/(273.15+A45))</f>
        <v>0.76196615589326966</v>
      </c>
      <c r="J45" s="17">
        <f>($B$1/1000)*((J5+1)/1.01325)*(273.15/(273.15+A45))</f>
        <v>0.86779478865622361</v>
      </c>
      <c r="K45" s="17">
        <f>($B$1/1000)*((K5+1)/1.01325)*(273.15/(273.15+A45))</f>
        <v>0.9736234214191779</v>
      </c>
      <c r="L45" s="17">
        <f>($B$1/1000)*((L5+1)/1.01325)*(273.15/(273.15+A45))</f>
        <v>1.079452054182132</v>
      </c>
      <c r="M45" s="17">
        <f>($B$1/1000)*((M5+1)/1.01325)*(273.15/(273.15+A45))</f>
        <v>1.185280686945086</v>
      </c>
      <c r="N45" s="17">
        <f>($B$1/1000)*((N5+1)/1.01325)*(273.15/(273.15+A45))</f>
        <v>1.2911093197080403</v>
      </c>
      <c r="O45" s="17">
        <f>($B$1/1000)*((O5+1)/1.01325)*(273.15/(273.15+A45))</f>
        <v>1.3969379524709942</v>
      </c>
      <c r="P45" s="17">
        <f>($B$1/1000)*((P5+1)/1.01325)*(273.15/(273.15+A45))</f>
        <v>1.5027665852339482</v>
      </c>
      <c r="Q45" s="17">
        <f>($B$1/1000)*((Q5+1)/1.01325)*(273.15/(273.15+A45))</f>
        <v>1.6085952179969025</v>
      </c>
      <c r="R45" s="17">
        <f>($B$1/1000)*((R5+1)/1.01325)*(273.15/(273.15+A45))</f>
        <v>1.7144238507598568</v>
      </c>
      <c r="S45" s="17">
        <f>($B$1/1000)*((S5+1)/1.01325)*(273.15/(273.15+A45))</f>
        <v>1.8202524835228104</v>
      </c>
      <c r="T45" s="17">
        <f>($B$1/1000)*((T5+1)/1.01325)*(273.15/(273.15+A45))</f>
        <v>1.9260811162857649</v>
      </c>
      <c r="U45" s="17">
        <f>($B$1/1000)*((U5+1)/1.01325)*(273.15/(273.15+A45))</f>
        <v>2.0319097490487192</v>
      </c>
      <c r="V45" s="17">
        <f>($B$1/1000)*((V5+1)/1.01325)*(273.15/(273.15+A45))</f>
        <v>2.1377383818116731</v>
      </c>
      <c r="W45" s="17">
        <f>($B$1/1000)*((W5+1)/1.01325)*(273.15/(273.15+A45))</f>
        <v>2.2435670145746274</v>
      </c>
      <c r="X45" s="17">
        <f>($B$1/1000)*((X5+1)/1.01325)*(273.15/(273.15+A45))</f>
        <v>2.3493956473375812</v>
      </c>
      <c r="Y45" s="17">
        <f>($B$1/1000)*((Y5+1)/1.01325)*(273.15/(273.15+A45))</f>
        <v>2.4552242801005355</v>
      </c>
      <c r="Z45" s="17">
        <f>($B$1/1000)*((Z5+1)/1.01325)*(273.15/(273.15+A45))</f>
        <v>2.5610529128634898</v>
      </c>
      <c r="AA45" s="17">
        <f>($B$1/1000)*((AA5+1)/1.01325)*(273.15/(273.15+A45))</f>
        <v>2.6668815456264436</v>
      </c>
      <c r="AB45" s="17">
        <f>($B$1/1000)*((AB5+1)/1.01325)*(273.15/(273.15+A45))</f>
        <v>2.7727101783893975</v>
      </c>
      <c r="AC45" s="17">
        <f>($B$1/1000)*((AC5+1)/1.01325)*(273.15/(273.15+A45))</f>
        <v>2.8785388111523513</v>
      </c>
      <c r="AD45" s="17">
        <f>($B$1/1000)*((AD5+1)/1.01325)*(273.15/(273.15+A45))</f>
        <v>2.9843674439153061</v>
      </c>
      <c r="AE45" s="17">
        <f>($B$1/1000)*((AE5+1)/1.01325)*(273.15/(273.15+A45))</f>
        <v>3.0901960766782599</v>
      </c>
      <c r="AF45" s="17">
        <f>($B$1/1000)*((AF5+1)/1.01325)*(273.15/(273.15+A45))</f>
        <v>3.1960247094412142</v>
      </c>
      <c r="AG45" s="17">
        <f>($B$1/1000)*((AG5+1)/1.01325)*(273.15/(273.15+A45))</f>
        <v>3.3018533422041685</v>
      </c>
      <c r="AH45" s="17">
        <f>($B$1/1000)*((AH5+1)/1.01325)*(273.15/(273.15+A45))</f>
        <v>3.4076819749671223</v>
      </c>
      <c r="AI45" s="17">
        <f>($B$1/1000)*((AI5+1)/1.01325)*(273.15/(273.15+A45))</f>
        <v>3.5135106077300766</v>
      </c>
      <c r="AJ45" s="17">
        <f>($B$1/1000)*((AJ5+1)/1.01325)*(273.15/(273.15+A45))</f>
        <v>3.6193392404930305</v>
      </c>
      <c r="AK45" s="17">
        <f>($B$1/1000)*((AK5+1)/1.01325)*(273.15/(273.15+A45))</f>
        <v>3.7251678732559848</v>
      </c>
      <c r="AL45" s="17">
        <f>($B$1/1000)*((AL5+1)/1.01325)*(273.15/(273.15+A45))</f>
        <v>3.830996506018939</v>
      </c>
      <c r="AM45" s="17">
        <f>($B$1/1000)*((AM5+1)/1.01325)*(273.15/(273.15+A45))</f>
        <v>3.9368251387818929</v>
      </c>
      <c r="AN45" s="17">
        <f>($B$1/1000)*((AN5+1)/1.01325)*(273.15/(273.15+A45))</f>
        <v>4.0426537715448472</v>
      </c>
      <c r="AO45" s="17">
        <f>($B$1/1000)*((AO5+1)/1.01325)*(273.15/(273.15+A45))</f>
        <v>4.148482404307801</v>
      </c>
      <c r="AP45" s="17">
        <f>($B$1/1000)*((AP5+1)/1.01325)*(273.15/(273.15+A45))</f>
        <v>4.2543110370707558</v>
      </c>
      <c r="AQ45" s="17">
        <f>($B$1/1000)*((AQ5+1)/1.01325)*(273.15/(273.15+A45))</f>
        <v>4.3601396698337096</v>
      </c>
      <c r="AR45" s="17">
        <f>($B$1/1000)*((AR5+1)/1.01325)*(273.15/(273.15+A45))</f>
        <v>4.4659683025966634</v>
      </c>
      <c r="AS45" s="17">
        <f>($B$1/1000)*((AS5+1)/1.01325)*(273.15/(273.15+A45))</f>
        <v>4.5717969353596173</v>
      </c>
      <c r="AT45" s="17">
        <f>($B$1/1000)*((AT5+1)/1.01325)*(273.15/(273.15+A45))</f>
        <v>4.677625568122572</v>
      </c>
      <c r="AU45" s="17">
        <f>($B$1/1000)*((AU5+1)/1.01325)*(273.15/(273.15+A45))</f>
        <v>4.7834542008855259</v>
      </c>
      <c r="AV45" s="17">
        <f>($B$1/1000)*((AV5+1)/1.01325)*(273.15/(273.15+A45))</f>
        <v>4.8892828336484797</v>
      </c>
      <c r="AW45" s="17">
        <f>($B$1/1000)*((AW5+1)/1.01325)*(273.15/(273.15+A45))</f>
        <v>4.9951114664114344</v>
      </c>
      <c r="AX45" s="17">
        <f>($B$1/1000)*((AX5+1)/1.01325)*(273.15/(273.15+A45))</f>
        <v>5.1009400991743883</v>
      </c>
      <c r="AY45" s="17">
        <f>($B$1/1000)*((AY5+1)/1.01325)*(273.15/(273.15+A45))</f>
        <v>5.2067687319373421</v>
      </c>
      <c r="AZ45" s="17">
        <f>($B$1/1000)*((AZ5+1)/1.01325)*(273.15/(273.15+A45))</f>
        <v>5.312597364700296</v>
      </c>
      <c r="BA45" s="17">
        <f>($B$1/1000)*((BA5+1)/1.01325)*(273.15/(273.15+A45))</f>
        <v>5.4184259974632507</v>
      </c>
      <c r="BB45" s="17">
        <f>($B$1/1000)*((BB5+1)/1.01325)*(273.15/(273.15+A45))</f>
        <v>5.5242546302262054</v>
      </c>
      <c r="BC45" s="17">
        <f>($B$1/1000)*((BC5+1)/1.01325)*(273.15/(273.15+A45))</f>
        <v>5.6300832629891584</v>
      </c>
      <c r="BD45" s="17">
        <f>($B$1/1000)*((BD5+1)/1.01325)*(273.15/(273.15+A45))</f>
        <v>5.7359118957521122</v>
      </c>
      <c r="BE45" s="17">
        <f>($B$1/1000)*((BE5+1)/1.01325)*(273.15/(273.15+A45))</f>
        <v>5.841740528515067</v>
      </c>
      <c r="BF45" s="17">
        <f>($B$1/1000)*((BF5+1)/1.01325)*(273.15/(273.15+A45))</f>
        <v>5.9475691612780208</v>
      </c>
      <c r="BG45" s="17">
        <f>($B$1/1000)*((BG5+1)/1.01325)*(273.15/(273.15+A45))</f>
        <v>6.0533977940409756</v>
      </c>
      <c r="BH45" s="17">
        <f>($B$1/1000)*((BH5+1)/1.01325)*(273.15/(273.15+A45))</f>
        <v>6.1592264268039294</v>
      </c>
      <c r="BI45" s="17">
        <f>($B$1/1000)*((BI5+1)/1.01325)*(273.15/(273.15+A45))</f>
        <v>6.2650550595668841</v>
      </c>
      <c r="BJ45" s="17">
        <f>($B$1/1000)*((BJ5+1)/1.01325)*(273.15/(273.15+A45))</f>
        <v>6.3708836923298371</v>
      </c>
    </row>
    <row r="46" spans="1:62" ht="18.75">
      <c r="A46" s="3">
        <v>60</v>
      </c>
      <c r="B46" s="17">
        <f>($B$1/1000)*((B5+1)/1.01325)*(273.15/(273.15+A46))</f>
        <v>2.1038662307940721E-2</v>
      </c>
      <c r="C46" s="17">
        <f>($B$1/1000)*((C5+1)/1.01325)*(273.15/(273.15+A46))</f>
        <v>0.12623197384764434</v>
      </c>
      <c r="D46" s="17">
        <f>($B$1/1000)*((D5+1)/1.01325)*(273.15/(273.15+A46))</f>
        <v>0.23142528538734794</v>
      </c>
      <c r="E46" s="17">
        <f>($B$1/1000)*((E5+1)/1.01325)*(273.15/(273.15+A46))</f>
        <v>0.33661859692705154</v>
      </c>
      <c r="F46" s="17">
        <f>($B$1/1000)*((F5+1)/1.01325)*(273.15/(273.15+A46))</f>
        <v>0.44181190846675511</v>
      </c>
      <c r="G46" s="17">
        <f>($B$1/1000)*((G5+1)/1.01325)*(273.15/(273.15+A46))</f>
        <v>0.54700522000645879</v>
      </c>
      <c r="H46" s="17">
        <f>($B$1/1000)*((H5+1)/1.01325)*(273.15/(273.15+A46))</f>
        <v>0.65219853154616236</v>
      </c>
      <c r="I46" s="17">
        <f>($B$1/1000)*((I5+1)/1.01325)*(273.15/(273.15+A46))</f>
        <v>0.75739184308586593</v>
      </c>
      <c r="J46" s="17">
        <f>($B$1/1000)*((J5+1)/1.01325)*(273.15/(273.15+A46))</f>
        <v>0.86258515462556951</v>
      </c>
      <c r="K46" s="17">
        <f>($B$1/1000)*((K5+1)/1.01325)*(273.15/(273.15+A46))</f>
        <v>0.9677784661652733</v>
      </c>
      <c r="L46" s="17">
        <f>($B$1/1000)*((L5+1)/1.01325)*(273.15/(273.15+A46))</f>
        <v>1.0729717777049768</v>
      </c>
      <c r="M46" s="17">
        <f>($B$1/1000)*((M5+1)/1.01325)*(273.15/(273.15+A46))</f>
        <v>1.1781650892446802</v>
      </c>
      <c r="N46" s="17">
        <f>($B$1/1000)*((N5+1)/1.01325)*(273.15/(273.15+A46))</f>
        <v>1.2833584007843841</v>
      </c>
      <c r="O46" s="17">
        <f>($B$1/1000)*((O5+1)/1.01325)*(273.15/(273.15+A46))</f>
        <v>1.3885517123240876</v>
      </c>
      <c r="P46" s="17">
        <f>($B$1/1000)*((P5+1)/1.01325)*(273.15/(273.15+A46))</f>
        <v>1.493745023863791</v>
      </c>
      <c r="Q46" s="17">
        <f>($B$1/1000)*((Q5+1)/1.01325)*(273.15/(273.15+A46))</f>
        <v>1.5989383354034949</v>
      </c>
      <c r="R46" s="17">
        <f>($B$1/1000)*((R5+1)/1.01325)*(273.15/(273.15+A46))</f>
        <v>1.7041316469431984</v>
      </c>
      <c r="S46" s="17">
        <f>($B$1/1000)*((S5+1)/1.01325)*(273.15/(273.15+A46))</f>
        <v>1.8093249584829016</v>
      </c>
      <c r="T46" s="17">
        <f>($B$1/1000)*((T5+1)/1.01325)*(273.15/(273.15+A46))</f>
        <v>1.9145182700226058</v>
      </c>
      <c r="U46" s="17">
        <f>($B$1/1000)*((U5+1)/1.01325)*(273.15/(273.15+A46))</f>
        <v>2.0197115815623095</v>
      </c>
      <c r="V46" s="17">
        <f>($B$1/1000)*((V5+1)/1.01325)*(273.15/(273.15+A46))</f>
        <v>2.1249048931020127</v>
      </c>
      <c r="W46" s="17">
        <f>($B$1/1000)*((W5+1)/1.01325)*(273.15/(273.15+A46))</f>
        <v>2.2300982046417164</v>
      </c>
      <c r="X46" s="17">
        <f>($B$1/1000)*((X5+1)/1.01325)*(273.15/(273.15+A46))</f>
        <v>2.3352915161814201</v>
      </c>
      <c r="Y46" s="17">
        <f>($B$1/1000)*((Y5+1)/1.01325)*(273.15/(273.15+A46))</f>
        <v>2.4404848277211237</v>
      </c>
      <c r="Z46" s="17">
        <f>($B$1/1000)*((Z5+1)/1.01325)*(273.15/(273.15+A46))</f>
        <v>2.5456781392608274</v>
      </c>
      <c r="AA46" s="17">
        <f>($B$1/1000)*((AA5+1)/1.01325)*(273.15/(273.15+A46))</f>
        <v>2.6508714508005307</v>
      </c>
      <c r="AB46" s="17">
        <f>($B$1/1000)*((AB5+1)/1.01325)*(273.15/(273.15+A46))</f>
        <v>2.7560647623402339</v>
      </c>
      <c r="AC46" s="17">
        <f>($B$1/1000)*((AC5+1)/1.01325)*(273.15/(273.15+A46))</f>
        <v>2.8612580738799376</v>
      </c>
      <c r="AD46" s="17">
        <f>($B$1/1000)*((AD5+1)/1.01325)*(273.15/(273.15+A46))</f>
        <v>2.9664513854196417</v>
      </c>
      <c r="AE46" s="17">
        <f>($B$1/1000)*((AE5+1)/1.01325)*(273.15/(273.15+A46))</f>
        <v>3.0716446969593454</v>
      </c>
      <c r="AF46" s="17">
        <f>($B$1/1000)*((AF5+1)/1.01325)*(273.15/(273.15+A46))</f>
        <v>3.1768380084990491</v>
      </c>
      <c r="AG46" s="17">
        <f>($B$1/1000)*((AG5+1)/1.01325)*(273.15/(273.15+A46))</f>
        <v>3.2820313200387523</v>
      </c>
      <c r="AH46" s="17">
        <f>($B$1/1000)*((AH5+1)/1.01325)*(273.15/(273.15+A46))</f>
        <v>3.387224631578456</v>
      </c>
      <c r="AI46" s="17">
        <f>($B$1/1000)*((AI5+1)/1.01325)*(273.15/(273.15+A46))</f>
        <v>3.4924179431181597</v>
      </c>
      <c r="AJ46" s="17">
        <f>($B$1/1000)*((AJ5+1)/1.01325)*(273.15/(273.15+A46))</f>
        <v>3.5976112546578634</v>
      </c>
      <c r="AK46" s="17">
        <f>($B$1/1000)*((AK5+1)/1.01325)*(273.15/(273.15+A46))</f>
        <v>3.702804566197567</v>
      </c>
      <c r="AL46" s="17">
        <f>($B$1/1000)*((AL5+1)/1.01325)*(273.15/(273.15+A46))</f>
        <v>3.8079978777372703</v>
      </c>
      <c r="AM46" s="17">
        <f>($B$1/1000)*((AM5+1)/1.01325)*(273.15/(273.15+A46))</f>
        <v>3.913191189276974</v>
      </c>
      <c r="AN46" s="17">
        <f>($B$1/1000)*((AN5+1)/1.01325)*(273.15/(273.15+A46))</f>
        <v>4.0183845008166781</v>
      </c>
      <c r="AO46" s="17">
        <f>($B$1/1000)*((AO5+1)/1.01325)*(273.15/(273.15+A46))</f>
        <v>4.1235778123563813</v>
      </c>
      <c r="AP46" s="17">
        <f>($B$1/1000)*((AP5+1)/1.01325)*(273.15/(273.15+A46))</f>
        <v>4.2287711238960846</v>
      </c>
      <c r="AQ46" s="17">
        <f>($B$1/1000)*((AQ5+1)/1.01325)*(273.15/(273.15+A46))</f>
        <v>4.3339644354357887</v>
      </c>
      <c r="AR46" s="17">
        <f>($B$1/1000)*((AR5+1)/1.01325)*(273.15/(273.15+A46))</f>
        <v>4.4391577469754919</v>
      </c>
      <c r="AS46" s="17">
        <f>($B$1/1000)*((AS5+1)/1.01325)*(273.15/(273.15+A46))</f>
        <v>4.5443510585151961</v>
      </c>
      <c r="AT46" s="17">
        <f>($B$1/1000)*((AT5+1)/1.01325)*(273.15/(273.15+A46))</f>
        <v>4.6495443700548993</v>
      </c>
      <c r="AU46" s="17">
        <f>($B$1/1000)*((AU5+1)/1.01325)*(273.15/(273.15+A46))</f>
        <v>4.7547376815946025</v>
      </c>
      <c r="AV46" s="17">
        <f>($B$1/1000)*((AV5+1)/1.01325)*(273.15/(273.15+A46))</f>
        <v>4.8599309931343067</v>
      </c>
      <c r="AW46" s="17">
        <f>($B$1/1000)*((AW5+1)/1.01325)*(273.15/(273.15+A46))</f>
        <v>4.9651243046740099</v>
      </c>
      <c r="AX46" s="17">
        <f>($B$1/1000)*((AX5+1)/1.01325)*(273.15/(273.15+A46))</f>
        <v>5.070317616213714</v>
      </c>
      <c r="AY46" s="17">
        <f>($B$1/1000)*((AY5+1)/1.01325)*(273.15/(273.15+A46))</f>
        <v>5.1755109277534173</v>
      </c>
      <c r="AZ46" s="17">
        <f>($B$1/1000)*((AZ5+1)/1.01325)*(273.15/(273.15+A46))</f>
        <v>5.2807042392931205</v>
      </c>
      <c r="BA46" s="17">
        <f>($B$1/1000)*((BA5+1)/1.01325)*(273.15/(273.15+A46))</f>
        <v>5.3858975508328246</v>
      </c>
      <c r="BB46" s="17">
        <f>($B$1/1000)*((BB5+1)/1.01325)*(273.15/(273.15+A46))</f>
        <v>5.4910908623725287</v>
      </c>
      <c r="BC46" s="17">
        <f>($B$1/1000)*((BC5+1)/1.01325)*(273.15/(273.15+A46))</f>
        <v>5.596284173912232</v>
      </c>
      <c r="BD46" s="17">
        <f>($B$1/1000)*((BD5+1)/1.01325)*(273.15/(273.15+A46))</f>
        <v>5.7014774854519343</v>
      </c>
      <c r="BE46" s="17">
        <f>($B$1/1000)*((BE5+1)/1.01325)*(273.15/(273.15+A46))</f>
        <v>5.8066707969916385</v>
      </c>
      <c r="BF46" s="17">
        <f>($B$1/1000)*((BF5+1)/1.01325)*(273.15/(273.15+A46))</f>
        <v>5.9118641085313426</v>
      </c>
      <c r="BG46" s="17">
        <f>($B$1/1000)*((BG5+1)/1.01325)*(273.15/(273.15+A46))</f>
        <v>6.0170574200710458</v>
      </c>
      <c r="BH46" s="17">
        <f>($B$1/1000)*((BH5+1)/1.01325)*(273.15/(273.15+A46))</f>
        <v>6.12225073161075</v>
      </c>
      <c r="BI46" s="17">
        <f>($B$1/1000)*((BI5+1)/1.01325)*(273.15/(273.15+A46))</f>
        <v>6.2274440431504541</v>
      </c>
      <c r="BJ46" s="17">
        <f>($B$1/1000)*((BJ5+1)/1.01325)*(273.15/(273.15+A46))</f>
        <v>6.3326373546901573</v>
      </c>
    </row>
  </sheetData>
  <phoneticPr fontId="1" type="noConversion"/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2"/>
  <dimension ref="A1:BJ46"/>
  <sheetViews>
    <sheetView workbookViewId="0">
      <pane xSplit="1" ySplit="5" topLeftCell="AH15" activePane="bottomRight" state="frozen"/>
      <selection pane="topRight" activeCell="B1" sqref="B1"/>
      <selection pane="bottomLeft" activeCell="A6" sqref="A6"/>
      <selection pane="bottomRight" activeCell="AS3" sqref="AS3"/>
    </sheetView>
  </sheetViews>
  <sheetFormatPr defaultRowHeight="15"/>
  <cols>
    <col min="1" max="1" width="29.28515625" customWidth="1"/>
    <col min="2" max="62" width="12" bestFit="1" customWidth="1"/>
  </cols>
  <sheetData>
    <row r="1" spans="1:62" ht="18.75">
      <c r="A1" s="6" t="s">
        <v>0</v>
      </c>
      <c r="B1" s="5">
        <v>26</v>
      </c>
      <c r="C1" s="6" t="s">
        <v>3</v>
      </c>
    </row>
    <row r="2" spans="1:62" ht="18.75">
      <c r="A2" s="6" t="s">
        <v>1</v>
      </c>
      <c r="B2" s="5">
        <v>0.78</v>
      </c>
      <c r="C2" s="6" t="s">
        <v>4</v>
      </c>
    </row>
    <row r="4" spans="1:62" s="8" customFormat="1"/>
    <row r="5" spans="1:62" ht="19.5" thickBot="1">
      <c r="A5" s="7" t="s">
        <v>2</v>
      </c>
      <c r="B5" s="24">
        <v>0</v>
      </c>
      <c r="C5" s="16">
        <v>5</v>
      </c>
      <c r="D5" s="9">
        <v>10</v>
      </c>
      <c r="E5" s="9">
        <v>15</v>
      </c>
      <c r="F5" s="9">
        <v>20</v>
      </c>
      <c r="G5" s="9">
        <v>25</v>
      </c>
      <c r="H5" s="9">
        <v>30</v>
      </c>
      <c r="I5" s="9">
        <v>35</v>
      </c>
      <c r="J5" s="9">
        <v>40</v>
      </c>
      <c r="K5" s="9">
        <v>45</v>
      </c>
      <c r="L5" s="9">
        <v>50</v>
      </c>
      <c r="M5" s="9">
        <v>55</v>
      </c>
      <c r="N5" s="9">
        <v>60</v>
      </c>
      <c r="O5" s="9">
        <v>65</v>
      </c>
      <c r="P5" s="9">
        <v>70</v>
      </c>
      <c r="Q5" s="9">
        <v>75</v>
      </c>
      <c r="R5" s="9">
        <v>80</v>
      </c>
      <c r="S5" s="9">
        <v>85</v>
      </c>
      <c r="T5" s="9">
        <v>90</v>
      </c>
      <c r="U5" s="9">
        <v>95</v>
      </c>
      <c r="V5" s="9">
        <v>100</v>
      </c>
      <c r="W5" s="9">
        <v>105</v>
      </c>
      <c r="X5" s="9">
        <v>110</v>
      </c>
      <c r="Y5" s="9">
        <v>115</v>
      </c>
      <c r="Z5" s="9">
        <v>120</v>
      </c>
      <c r="AA5" s="9">
        <v>125</v>
      </c>
      <c r="AB5" s="9">
        <v>130</v>
      </c>
      <c r="AC5" s="9">
        <v>135</v>
      </c>
      <c r="AD5" s="9">
        <v>140</v>
      </c>
      <c r="AE5" s="9">
        <v>145</v>
      </c>
      <c r="AF5" s="9">
        <v>150</v>
      </c>
      <c r="AG5" s="9">
        <v>155</v>
      </c>
      <c r="AH5" s="9">
        <v>160</v>
      </c>
      <c r="AI5" s="9">
        <v>165</v>
      </c>
      <c r="AJ5" s="9">
        <v>170</v>
      </c>
      <c r="AK5" s="9">
        <v>175</v>
      </c>
      <c r="AL5" s="15">
        <v>180</v>
      </c>
      <c r="AM5" s="15">
        <v>185</v>
      </c>
      <c r="AN5" s="15">
        <v>190</v>
      </c>
      <c r="AO5" s="15">
        <v>195</v>
      </c>
      <c r="AP5" s="15">
        <v>200</v>
      </c>
      <c r="AQ5" s="15">
        <v>205</v>
      </c>
      <c r="AR5" s="15">
        <v>210</v>
      </c>
      <c r="AS5" s="12">
        <v>215</v>
      </c>
      <c r="AT5" s="12">
        <v>220</v>
      </c>
      <c r="AU5" s="13">
        <v>225</v>
      </c>
      <c r="AV5" s="13">
        <v>230</v>
      </c>
      <c r="AW5" s="13">
        <v>235</v>
      </c>
      <c r="AX5" s="13">
        <v>240</v>
      </c>
      <c r="AY5" s="14">
        <v>245</v>
      </c>
      <c r="AZ5" s="13">
        <v>250</v>
      </c>
      <c r="BA5" s="10">
        <v>255</v>
      </c>
      <c r="BB5" s="11">
        <v>260</v>
      </c>
      <c r="BC5" s="11">
        <v>265</v>
      </c>
      <c r="BD5" s="11">
        <v>270</v>
      </c>
      <c r="BE5" s="11">
        <v>275</v>
      </c>
      <c r="BF5" s="11">
        <v>280</v>
      </c>
      <c r="BG5" s="11">
        <v>285</v>
      </c>
      <c r="BH5" s="11">
        <v>290</v>
      </c>
      <c r="BI5" s="11">
        <v>295</v>
      </c>
      <c r="BJ5" s="11">
        <v>300</v>
      </c>
    </row>
    <row r="6" spans="1:62" ht="19.5" thickBot="1">
      <c r="A6" s="4">
        <v>-20</v>
      </c>
      <c r="B6" s="18">
        <f t="shared" ref="B6:B26" si="0">($B$1/1000)*((B$5+1)/1.01325)*(273.15/(273.15+$A6))*(288.15/(288.15)) * ($B$2 / 0.75)</f>
        <v>2.8794752367395097E-2</v>
      </c>
      <c r="C6" s="17">
        <f t="shared" ref="C6:BJ10" si="1">($B$1/1000)*((C$5+1)/1.01325)*(273.15/(273.15+$A6))*(288.15/(288.15)) * ($B$2 / 0.75)</f>
        <v>0.17276851420437059</v>
      </c>
      <c r="D6" s="17">
        <f t="shared" si="1"/>
        <v>0.31674227604134608</v>
      </c>
      <c r="E6" s="17">
        <f t="shared" si="1"/>
        <v>0.46071603787832155</v>
      </c>
      <c r="F6" s="17">
        <f t="shared" si="1"/>
        <v>0.60468979971529702</v>
      </c>
      <c r="G6" s="17">
        <f t="shared" si="1"/>
        <v>0.74866356155227265</v>
      </c>
      <c r="H6" s="17">
        <f t="shared" si="1"/>
        <v>0.89263732338924817</v>
      </c>
      <c r="I6" s="17">
        <f t="shared" si="1"/>
        <v>1.0366110852262236</v>
      </c>
      <c r="J6" s="17">
        <f t="shared" si="1"/>
        <v>1.180584847063199</v>
      </c>
      <c r="K6" s="17">
        <f t="shared" si="1"/>
        <v>1.3245586089001746</v>
      </c>
      <c r="L6" s="17">
        <f t="shared" si="1"/>
        <v>1.46853237073715</v>
      </c>
      <c r="M6" s="17">
        <f t="shared" si="1"/>
        <v>1.6125061325741255</v>
      </c>
      <c r="N6" s="17">
        <f t="shared" si="1"/>
        <v>1.7564798944111011</v>
      </c>
      <c r="O6" s="17">
        <f t="shared" si="1"/>
        <v>1.9004536562480763</v>
      </c>
      <c r="P6" s="17">
        <f t="shared" si="1"/>
        <v>2.0444274180850517</v>
      </c>
      <c r="Q6" s="17">
        <f t="shared" si="1"/>
        <v>2.1884011799220278</v>
      </c>
      <c r="R6" s="17">
        <f t="shared" si="1"/>
        <v>2.3323749417590034</v>
      </c>
      <c r="S6" s="17">
        <f t="shared" si="1"/>
        <v>2.4763487035959777</v>
      </c>
      <c r="T6" s="17">
        <f t="shared" si="1"/>
        <v>2.6203224654329542</v>
      </c>
      <c r="U6" s="17">
        <f t="shared" si="1"/>
        <v>2.7642962272699294</v>
      </c>
      <c r="V6" s="17">
        <f t="shared" si="1"/>
        <v>2.908269989106905</v>
      </c>
      <c r="W6" s="17">
        <f t="shared" si="1"/>
        <v>3.0522437509438802</v>
      </c>
      <c r="X6" s="17">
        <f t="shared" si="1"/>
        <v>3.1962175127808559</v>
      </c>
      <c r="Y6" s="17">
        <f t="shared" si="1"/>
        <v>3.3401912746178315</v>
      </c>
      <c r="Z6" s="17">
        <f t="shared" si="1"/>
        <v>3.4841650364548067</v>
      </c>
      <c r="AA6" s="17">
        <f t="shared" si="1"/>
        <v>3.6281387982917823</v>
      </c>
      <c r="AB6" s="17">
        <f t="shared" si="1"/>
        <v>3.7721125601287575</v>
      </c>
      <c r="AC6" s="17">
        <f t="shared" si="1"/>
        <v>3.9160863219657327</v>
      </c>
      <c r="AD6" s="17">
        <f t="shared" si="1"/>
        <v>4.0600600838027088</v>
      </c>
      <c r="AE6" s="17">
        <f t="shared" si="1"/>
        <v>4.2040338456396844</v>
      </c>
      <c r="AF6" s="17">
        <f t="shared" si="1"/>
        <v>4.34800760747666</v>
      </c>
      <c r="AG6" s="17">
        <f t="shared" si="1"/>
        <v>4.4919813693136357</v>
      </c>
      <c r="AH6" s="17">
        <f t="shared" si="1"/>
        <v>4.6359551311506113</v>
      </c>
      <c r="AI6" s="17">
        <f t="shared" si="1"/>
        <v>4.7799288929875861</v>
      </c>
      <c r="AJ6" s="17">
        <f t="shared" si="1"/>
        <v>4.9239026548245626</v>
      </c>
      <c r="AK6" s="17">
        <f t="shared" si="1"/>
        <v>5.0678764166615373</v>
      </c>
      <c r="AL6" s="17">
        <f t="shared" si="1"/>
        <v>5.211850178498513</v>
      </c>
      <c r="AM6" s="17">
        <f t="shared" si="1"/>
        <v>5.3558239403354886</v>
      </c>
      <c r="AN6" s="17">
        <f t="shared" si="1"/>
        <v>5.4997977021724642</v>
      </c>
      <c r="AO6" s="17">
        <f t="shared" si="1"/>
        <v>5.643771464009439</v>
      </c>
      <c r="AP6" s="17">
        <f t="shared" si="1"/>
        <v>5.7877452258464155</v>
      </c>
      <c r="AQ6" s="17">
        <f t="shared" si="1"/>
        <v>5.9317189876833902</v>
      </c>
      <c r="AR6" s="17">
        <f t="shared" si="1"/>
        <v>6.0756927495203659</v>
      </c>
      <c r="AS6" s="17">
        <f t="shared" si="1"/>
        <v>6.2196665113573415</v>
      </c>
      <c r="AT6" s="17">
        <f t="shared" si="1"/>
        <v>6.3636402731943171</v>
      </c>
      <c r="AU6" s="17">
        <f t="shared" si="1"/>
        <v>6.5076140350312919</v>
      </c>
      <c r="AV6" s="17">
        <f t="shared" si="1"/>
        <v>6.6515877968682675</v>
      </c>
      <c r="AW6" s="17">
        <f t="shared" si="1"/>
        <v>6.7955615587052431</v>
      </c>
      <c r="AX6" s="17">
        <f t="shared" si="1"/>
        <v>6.9395353205422179</v>
      </c>
      <c r="AY6" s="17">
        <f t="shared" si="1"/>
        <v>7.0835090823791944</v>
      </c>
      <c r="AZ6" s="17">
        <f t="shared" si="1"/>
        <v>7.2274828442161692</v>
      </c>
      <c r="BA6" s="17">
        <f t="shared" si="1"/>
        <v>7.3714566060531448</v>
      </c>
      <c r="BB6" s="17">
        <f t="shared" si="1"/>
        <v>7.5154303678901222</v>
      </c>
      <c r="BC6" s="17">
        <f t="shared" si="1"/>
        <v>7.6594041297270961</v>
      </c>
      <c r="BD6" s="17">
        <f t="shared" si="1"/>
        <v>7.8033778915640699</v>
      </c>
      <c r="BE6" s="17">
        <f t="shared" si="1"/>
        <v>7.9473516534010473</v>
      </c>
      <c r="BF6" s="17">
        <f t="shared" si="1"/>
        <v>8.091325415238023</v>
      </c>
      <c r="BG6" s="17">
        <f t="shared" si="1"/>
        <v>8.2352991770749977</v>
      </c>
      <c r="BH6" s="17">
        <f t="shared" si="1"/>
        <v>8.3792729389119724</v>
      </c>
      <c r="BI6" s="17">
        <f t="shared" si="1"/>
        <v>8.5232467007489507</v>
      </c>
      <c r="BJ6" s="17">
        <f t="shared" si="1"/>
        <v>8.6672204625859255</v>
      </c>
    </row>
    <row r="7" spans="1:62" ht="18.75">
      <c r="A7" s="4">
        <v>-18</v>
      </c>
      <c r="B7" s="17">
        <f t="shared" si="0"/>
        <v>2.8569043942018691E-2</v>
      </c>
      <c r="C7" s="17">
        <f t="shared" si="1"/>
        <v>0.17141426365211215</v>
      </c>
      <c r="D7" s="17">
        <f t="shared" si="1"/>
        <v>0.3142594833622056</v>
      </c>
      <c r="E7" s="17">
        <f t="shared" si="1"/>
        <v>0.45710470307229906</v>
      </c>
      <c r="F7" s="17">
        <f t="shared" si="1"/>
        <v>0.59994992278239256</v>
      </c>
      <c r="G7" s="17">
        <f t="shared" si="1"/>
        <v>0.74279514249248613</v>
      </c>
      <c r="H7" s="17">
        <f t="shared" si="1"/>
        <v>0.88564036220257958</v>
      </c>
      <c r="I7" s="17">
        <f t="shared" si="1"/>
        <v>1.028485581912673</v>
      </c>
      <c r="J7" s="17">
        <f t="shared" si="1"/>
        <v>1.1713308016227664</v>
      </c>
      <c r="K7" s="17">
        <f t="shared" si="1"/>
        <v>1.3141760213328602</v>
      </c>
      <c r="L7" s="17">
        <f t="shared" si="1"/>
        <v>1.4570212410429535</v>
      </c>
      <c r="M7" s="17">
        <f t="shared" si="1"/>
        <v>1.5998664607530468</v>
      </c>
      <c r="N7" s="17">
        <f t="shared" si="1"/>
        <v>1.7427116804631404</v>
      </c>
      <c r="O7" s="17">
        <f t="shared" si="1"/>
        <v>1.8855569001732337</v>
      </c>
      <c r="P7" s="17">
        <f t="shared" si="1"/>
        <v>2.0284021198833271</v>
      </c>
      <c r="Q7" s="17">
        <f t="shared" si="1"/>
        <v>2.1712473395934206</v>
      </c>
      <c r="R7" s="17">
        <f t="shared" si="1"/>
        <v>2.3140925593035142</v>
      </c>
      <c r="S7" s="17">
        <f t="shared" si="1"/>
        <v>2.4569377790136069</v>
      </c>
      <c r="T7" s="17">
        <f t="shared" si="1"/>
        <v>2.5997829987237013</v>
      </c>
      <c r="U7" s="17">
        <f t="shared" si="1"/>
        <v>2.7426282184337945</v>
      </c>
      <c r="V7" s="17">
        <f t="shared" si="1"/>
        <v>2.885473438143888</v>
      </c>
      <c r="W7" s="17">
        <f t="shared" si="1"/>
        <v>3.0283186578539811</v>
      </c>
      <c r="X7" s="17">
        <f t="shared" si="1"/>
        <v>3.1711638775640751</v>
      </c>
      <c r="Y7" s="17">
        <f t="shared" si="1"/>
        <v>3.3140090972741683</v>
      </c>
      <c r="Z7" s="17">
        <f t="shared" si="1"/>
        <v>3.4568543169842618</v>
      </c>
      <c r="AA7" s="17">
        <f t="shared" si="1"/>
        <v>3.5996995366943554</v>
      </c>
      <c r="AB7" s="17">
        <f t="shared" si="1"/>
        <v>3.7425447564044485</v>
      </c>
      <c r="AC7" s="17">
        <f t="shared" si="1"/>
        <v>3.8853899761145416</v>
      </c>
      <c r="AD7" s="17">
        <f t="shared" si="1"/>
        <v>4.0282351958246352</v>
      </c>
      <c r="AE7" s="17">
        <f t="shared" si="1"/>
        <v>4.1710804155347292</v>
      </c>
      <c r="AF7" s="17">
        <f t="shared" si="1"/>
        <v>4.3139256352448223</v>
      </c>
      <c r="AG7" s="17">
        <f t="shared" si="1"/>
        <v>4.4567708549549163</v>
      </c>
      <c r="AH7" s="17">
        <f t="shared" si="1"/>
        <v>4.5996160746650094</v>
      </c>
      <c r="AI7" s="17">
        <f t="shared" si="1"/>
        <v>4.7424612943751034</v>
      </c>
      <c r="AJ7" s="17">
        <f t="shared" si="1"/>
        <v>4.8853065140851966</v>
      </c>
      <c r="AK7" s="17">
        <f t="shared" si="1"/>
        <v>5.0281517337952897</v>
      </c>
      <c r="AL7" s="17">
        <f t="shared" si="1"/>
        <v>5.1709969535053828</v>
      </c>
      <c r="AM7" s="17">
        <f t="shared" si="1"/>
        <v>5.3138421732154768</v>
      </c>
      <c r="AN7" s="17">
        <f t="shared" si="1"/>
        <v>5.4566873929255708</v>
      </c>
      <c r="AO7" s="17">
        <f t="shared" si="1"/>
        <v>5.5995326126356639</v>
      </c>
      <c r="AP7" s="17">
        <f t="shared" si="1"/>
        <v>5.7423778323457579</v>
      </c>
      <c r="AQ7" s="17">
        <f t="shared" si="1"/>
        <v>5.8852230520558511</v>
      </c>
      <c r="AR7" s="17">
        <f t="shared" si="1"/>
        <v>6.0280682717659442</v>
      </c>
      <c r="AS7" s="17">
        <f t="shared" si="1"/>
        <v>6.1709134914760373</v>
      </c>
      <c r="AT7" s="17">
        <f t="shared" si="1"/>
        <v>6.3137587111861304</v>
      </c>
      <c r="AU7" s="17">
        <f t="shared" si="1"/>
        <v>6.4566039308962244</v>
      </c>
      <c r="AV7" s="17">
        <f t="shared" si="1"/>
        <v>6.5994491506063184</v>
      </c>
      <c r="AW7" s="17">
        <f t="shared" si="1"/>
        <v>6.7422943703164115</v>
      </c>
      <c r="AX7" s="17">
        <f t="shared" si="1"/>
        <v>6.8851395900265056</v>
      </c>
      <c r="AY7" s="17">
        <f t="shared" si="1"/>
        <v>7.0279848097365987</v>
      </c>
      <c r="AZ7" s="17">
        <f t="shared" si="1"/>
        <v>7.1708300294466918</v>
      </c>
      <c r="BA7" s="17">
        <f t="shared" si="1"/>
        <v>7.3136752491567849</v>
      </c>
      <c r="BB7" s="17">
        <f t="shared" si="1"/>
        <v>7.4565204688668798</v>
      </c>
      <c r="BC7" s="17">
        <f t="shared" si="1"/>
        <v>7.5993656885769729</v>
      </c>
      <c r="BD7" s="17">
        <f t="shared" si="1"/>
        <v>7.7422109082870652</v>
      </c>
      <c r="BE7" s="17">
        <f t="shared" si="1"/>
        <v>7.8850561279971592</v>
      </c>
      <c r="BF7" s="17">
        <f t="shared" si="1"/>
        <v>8.0279013477072532</v>
      </c>
      <c r="BG7" s="17">
        <f t="shared" si="1"/>
        <v>8.1707465674173463</v>
      </c>
      <c r="BH7" s="17">
        <f t="shared" si="1"/>
        <v>8.3135917871274394</v>
      </c>
      <c r="BI7" s="17">
        <f t="shared" si="1"/>
        <v>8.4564370068375343</v>
      </c>
      <c r="BJ7" s="17">
        <f t="shared" si="1"/>
        <v>8.5992822265476256</v>
      </c>
    </row>
    <row r="8" spans="1:62" ht="18.75">
      <c r="A8" s="4">
        <v>-16</v>
      </c>
      <c r="B8" s="17">
        <f t="shared" si="0"/>
        <v>2.8346846439066962E-2</v>
      </c>
      <c r="C8" s="17">
        <f t="shared" si="1"/>
        <v>0.17008107863440178</v>
      </c>
      <c r="D8" s="17">
        <f t="shared" si="1"/>
        <v>0.31181531082973657</v>
      </c>
      <c r="E8" s="17">
        <f t="shared" si="1"/>
        <v>0.45354954302507139</v>
      </c>
      <c r="F8" s="17">
        <f t="shared" si="1"/>
        <v>0.5952837752204061</v>
      </c>
      <c r="G8" s="17">
        <f t="shared" si="1"/>
        <v>0.73701800741574108</v>
      </c>
      <c r="H8" s="17">
        <f t="shared" si="1"/>
        <v>0.87875223961107585</v>
      </c>
      <c r="I8" s="17">
        <f t="shared" si="1"/>
        <v>1.0204864718064106</v>
      </c>
      <c r="J8" s="17">
        <f t="shared" si="1"/>
        <v>1.1622207040017454</v>
      </c>
      <c r="K8" s="17">
        <f t="shared" si="1"/>
        <v>1.3039549361970804</v>
      </c>
      <c r="L8" s="17">
        <f t="shared" si="1"/>
        <v>1.4456891683924151</v>
      </c>
      <c r="M8" s="17">
        <f t="shared" si="1"/>
        <v>1.5874234005877497</v>
      </c>
      <c r="N8" s="17">
        <f t="shared" si="1"/>
        <v>1.7291576327830847</v>
      </c>
      <c r="O8" s="17">
        <f t="shared" si="1"/>
        <v>1.8708918649784194</v>
      </c>
      <c r="P8" s="17">
        <f t="shared" si="1"/>
        <v>2.012626097173754</v>
      </c>
      <c r="Q8" s="17">
        <f t="shared" si="1"/>
        <v>2.1543603293690889</v>
      </c>
      <c r="R8" s="17">
        <f t="shared" si="1"/>
        <v>2.2960945615644239</v>
      </c>
      <c r="S8" s="17">
        <f t="shared" si="1"/>
        <v>2.4378287937597585</v>
      </c>
      <c r="T8" s="17">
        <f t="shared" si="1"/>
        <v>2.5795630259550935</v>
      </c>
      <c r="U8" s="17">
        <f t="shared" si="1"/>
        <v>2.7212972581504284</v>
      </c>
      <c r="V8" s="17">
        <f t="shared" si="1"/>
        <v>2.8630314903457634</v>
      </c>
      <c r="W8" s="17">
        <f t="shared" si="1"/>
        <v>3.0047657225410975</v>
      </c>
      <c r="X8" s="17">
        <f t="shared" si="1"/>
        <v>3.1464999547364325</v>
      </c>
      <c r="Y8" s="17">
        <f t="shared" si="1"/>
        <v>3.2882341869317675</v>
      </c>
      <c r="Z8" s="17">
        <f t="shared" si="1"/>
        <v>3.429968419127102</v>
      </c>
      <c r="AA8" s="17">
        <f t="shared" si="1"/>
        <v>3.571702651322437</v>
      </c>
      <c r="AB8" s="17">
        <f t="shared" si="1"/>
        <v>3.7134368835177716</v>
      </c>
      <c r="AC8" s="17">
        <f t="shared" si="1"/>
        <v>3.8551711157131061</v>
      </c>
      <c r="AD8" s="17">
        <f t="shared" si="1"/>
        <v>3.9969053479084415</v>
      </c>
      <c r="AE8" s="17">
        <f t="shared" si="1"/>
        <v>4.1386395801037761</v>
      </c>
      <c r="AF8" s="17">
        <f t="shared" si="1"/>
        <v>4.2803738122991106</v>
      </c>
      <c r="AG8" s="17">
        <f t="shared" si="1"/>
        <v>4.4221080444944461</v>
      </c>
      <c r="AH8" s="17">
        <f t="shared" si="1"/>
        <v>4.5638422766897806</v>
      </c>
      <c r="AI8" s="17">
        <f t="shared" si="1"/>
        <v>4.7055765088851151</v>
      </c>
      <c r="AJ8" s="17">
        <f t="shared" si="1"/>
        <v>4.8473107410804506</v>
      </c>
      <c r="AK8" s="17">
        <f t="shared" si="1"/>
        <v>4.9890449732757851</v>
      </c>
      <c r="AL8" s="17">
        <f t="shared" si="1"/>
        <v>5.1307792054711197</v>
      </c>
      <c r="AM8" s="17">
        <f t="shared" si="1"/>
        <v>5.2725134376664551</v>
      </c>
      <c r="AN8" s="17">
        <f t="shared" si="1"/>
        <v>5.4142476698617896</v>
      </c>
      <c r="AO8" s="17">
        <f t="shared" si="1"/>
        <v>5.5559819020571242</v>
      </c>
      <c r="AP8" s="17">
        <f t="shared" si="1"/>
        <v>5.6977161342524596</v>
      </c>
      <c r="AQ8" s="17">
        <f t="shared" si="1"/>
        <v>5.8394503664477941</v>
      </c>
      <c r="AR8" s="17">
        <f t="shared" si="1"/>
        <v>5.9811845986431278</v>
      </c>
      <c r="AS8" s="17">
        <f t="shared" si="1"/>
        <v>6.1229188308384632</v>
      </c>
      <c r="AT8" s="17">
        <f t="shared" si="1"/>
        <v>6.2646530630337978</v>
      </c>
      <c r="AU8" s="17">
        <f t="shared" si="1"/>
        <v>6.4063872952291332</v>
      </c>
      <c r="AV8" s="17">
        <f t="shared" si="1"/>
        <v>6.5481215274244677</v>
      </c>
      <c r="AW8" s="17">
        <f t="shared" si="1"/>
        <v>6.6898557596198023</v>
      </c>
      <c r="AX8" s="17">
        <f t="shared" si="1"/>
        <v>6.8315899918151377</v>
      </c>
      <c r="AY8" s="17">
        <f t="shared" si="1"/>
        <v>6.9733242240104722</v>
      </c>
      <c r="AZ8" s="17">
        <f t="shared" si="1"/>
        <v>7.1150584562058068</v>
      </c>
      <c r="BA8" s="17">
        <f t="shared" si="1"/>
        <v>7.2567926884011422</v>
      </c>
      <c r="BB8" s="17">
        <f t="shared" si="1"/>
        <v>7.3985269205964777</v>
      </c>
      <c r="BC8" s="17">
        <f t="shared" si="1"/>
        <v>7.5402611527918113</v>
      </c>
      <c r="BD8" s="17">
        <f t="shared" si="1"/>
        <v>7.6819953849871458</v>
      </c>
      <c r="BE8" s="17">
        <f t="shared" si="1"/>
        <v>7.8237296171824813</v>
      </c>
      <c r="BF8" s="17">
        <f t="shared" si="1"/>
        <v>7.9654638493778158</v>
      </c>
      <c r="BG8" s="17">
        <f t="shared" si="1"/>
        <v>8.1071980815731504</v>
      </c>
      <c r="BH8" s="17">
        <f t="shared" si="1"/>
        <v>8.2489323137684849</v>
      </c>
      <c r="BI8" s="17">
        <f t="shared" si="1"/>
        <v>8.3906665459638212</v>
      </c>
      <c r="BJ8" s="17">
        <f t="shared" si="1"/>
        <v>8.532400778159154</v>
      </c>
    </row>
    <row r="9" spans="1:62" ht="18.75">
      <c r="A9" s="4">
        <v>-14</v>
      </c>
      <c r="B9" s="17">
        <f t="shared" si="0"/>
        <v>2.8128078571507117E-2</v>
      </c>
      <c r="C9" s="17">
        <f t="shared" si="1"/>
        <v>0.16876847142904269</v>
      </c>
      <c r="D9" s="17">
        <f t="shared" si="1"/>
        <v>0.30940886428657832</v>
      </c>
      <c r="E9" s="17">
        <f t="shared" si="1"/>
        <v>0.45004925714411387</v>
      </c>
      <c r="F9" s="17">
        <f t="shared" si="1"/>
        <v>0.59068965000164941</v>
      </c>
      <c r="G9" s="17">
        <f t="shared" si="1"/>
        <v>0.73133004285918501</v>
      </c>
      <c r="H9" s="17">
        <f t="shared" si="1"/>
        <v>0.87197043571672062</v>
      </c>
      <c r="I9" s="17">
        <f t="shared" si="1"/>
        <v>1.0126108285742563</v>
      </c>
      <c r="J9" s="17">
        <f t="shared" si="1"/>
        <v>1.1532512214317916</v>
      </c>
      <c r="K9" s="17">
        <f t="shared" si="1"/>
        <v>1.2938916142893275</v>
      </c>
      <c r="L9" s="17">
        <f t="shared" si="1"/>
        <v>1.434532007146863</v>
      </c>
      <c r="M9" s="17">
        <f t="shared" si="1"/>
        <v>1.5751724000043983</v>
      </c>
      <c r="N9" s="17">
        <f t="shared" si="1"/>
        <v>1.7158127928619342</v>
      </c>
      <c r="O9" s="17">
        <f t="shared" si="1"/>
        <v>1.8564531857194695</v>
      </c>
      <c r="P9" s="17">
        <f t="shared" si="1"/>
        <v>1.9970935785770052</v>
      </c>
      <c r="Q9" s="17">
        <f t="shared" si="1"/>
        <v>2.1377339714345411</v>
      </c>
      <c r="R9" s="17">
        <f t="shared" si="1"/>
        <v>2.2783743642920764</v>
      </c>
      <c r="S9" s="17">
        <f t="shared" si="1"/>
        <v>2.4190147571496117</v>
      </c>
      <c r="T9" s="17">
        <f t="shared" si="1"/>
        <v>2.5596551500071474</v>
      </c>
      <c r="U9" s="17">
        <f t="shared" si="1"/>
        <v>2.7002955428646831</v>
      </c>
      <c r="V9" s="17">
        <f t="shared" si="1"/>
        <v>2.8409359357222184</v>
      </c>
      <c r="W9" s="17">
        <f t="shared" si="1"/>
        <v>2.9815763285797545</v>
      </c>
      <c r="X9" s="17">
        <f t="shared" si="1"/>
        <v>3.1222167214372902</v>
      </c>
      <c r="Y9" s="17">
        <f t="shared" si="1"/>
        <v>3.2628571142948255</v>
      </c>
      <c r="Z9" s="17">
        <f t="shared" si="1"/>
        <v>3.4034975071523612</v>
      </c>
      <c r="AA9" s="17">
        <f t="shared" si="1"/>
        <v>3.5441379000098965</v>
      </c>
      <c r="AB9" s="17">
        <f t="shared" si="1"/>
        <v>3.6847782928674317</v>
      </c>
      <c r="AC9" s="17">
        <f t="shared" si="1"/>
        <v>3.825418685724967</v>
      </c>
      <c r="AD9" s="17">
        <f t="shared" si="1"/>
        <v>3.9660590785825032</v>
      </c>
      <c r="AE9" s="17">
        <f t="shared" si="1"/>
        <v>4.1066994714400389</v>
      </c>
      <c r="AF9" s="17">
        <f t="shared" si="1"/>
        <v>4.2473398642975742</v>
      </c>
      <c r="AG9" s="17">
        <f t="shared" si="1"/>
        <v>4.3879802571551094</v>
      </c>
      <c r="AH9" s="17">
        <f t="shared" si="1"/>
        <v>4.5286206500126456</v>
      </c>
      <c r="AI9" s="17">
        <f t="shared" si="1"/>
        <v>4.6692610428701808</v>
      </c>
      <c r="AJ9" s="17">
        <f t="shared" si="1"/>
        <v>4.809901435727717</v>
      </c>
      <c r="AK9" s="17">
        <f t="shared" si="1"/>
        <v>4.9505418285852532</v>
      </c>
      <c r="AL9" s="17">
        <f t="shared" si="1"/>
        <v>5.0911822214427884</v>
      </c>
      <c r="AM9" s="17">
        <f t="shared" si="1"/>
        <v>5.2318226143003237</v>
      </c>
      <c r="AN9" s="17">
        <f t="shared" si="1"/>
        <v>5.372463007157859</v>
      </c>
      <c r="AO9" s="17">
        <f t="shared" si="1"/>
        <v>5.5131034000153951</v>
      </c>
      <c r="AP9" s="17">
        <f t="shared" si="1"/>
        <v>5.6537437928729304</v>
      </c>
      <c r="AQ9" s="17">
        <f t="shared" si="1"/>
        <v>5.7943841857304657</v>
      </c>
      <c r="AR9" s="17">
        <f t="shared" si="1"/>
        <v>5.9350245785880018</v>
      </c>
      <c r="AS9" s="17">
        <f t="shared" si="1"/>
        <v>6.0756649714455371</v>
      </c>
      <c r="AT9" s="17">
        <f t="shared" si="1"/>
        <v>6.2163053643030723</v>
      </c>
      <c r="AU9" s="17">
        <f t="shared" si="1"/>
        <v>6.3569457571606076</v>
      </c>
      <c r="AV9" s="17">
        <f t="shared" si="1"/>
        <v>6.4975861500181438</v>
      </c>
      <c r="AW9" s="17">
        <f t="shared" si="1"/>
        <v>6.638226542875679</v>
      </c>
      <c r="AX9" s="17">
        <f t="shared" si="1"/>
        <v>6.7788669357332143</v>
      </c>
      <c r="AY9" s="17">
        <f t="shared" si="1"/>
        <v>6.9195073285907505</v>
      </c>
      <c r="AZ9" s="17">
        <f t="shared" si="1"/>
        <v>7.0601477214482857</v>
      </c>
      <c r="BA9" s="17">
        <f t="shared" si="1"/>
        <v>7.2007881143058219</v>
      </c>
      <c r="BB9" s="17">
        <f t="shared" si="1"/>
        <v>7.341428507163358</v>
      </c>
      <c r="BC9" s="17">
        <f t="shared" si="1"/>
        <v>7.4820689000208933</v>
      </c>
      <c r="BD9" s="17">
        <f t="shared" si="1"/>
        <v>7.6227092928784277</v>
      </c>
      <c r="BE9" s="17">
        <f t="shared" si="1"/>
        <v>7.7633496857359638</v>
      </c>
      <c r="BF9" s="17">
        <f t="shared" si="1"/>
        <v>7.9039900785935</v>
      </c>
      <c r="BG9" s="17">
        <f t="shared" si="1"/>
        <v>8.0446304714510344</v>
      </c>
      <c r="BH9" s="17">
        <f t="shared" si="1"/>
        <v>8.1852708643085705</v>
      </c>
      <c r="BI9" s="17">
        <f t="shared" si="1"/>
        <v>8.3259112571661085</v>
      </c>
      <c r="BJ9" s="17">
        <f t="shared" si="1"/>
        <v>8.4665516500236428</v>
      </c>
    </row>
    <row r="10" spans="1:62" ht="18.75">
      <c r="A10" s="4">
        <v>-12</v>
      </c>
      <c r="B10" s="17">
        <f t="shared" si="0"/>
        <v>2.7912661542431817E-2</v>
      </c>
      <c r="C10" s="17">
        <f t="shared" si="1"/>
        <v>0.16747596925459091</v>
      </c>
      <c r="D10" s="17">
        <f t="shared" si="1"/>
        <v>0.30703927696674999</v>
      </c>
      <c r="E10" s="17">
        <f t="shared" si="1"/>
        <v>0.44660258467890906</v>
      </c>
      <c r="F10" s="17">
        <f t="shared" si="1"/>
        <v>0.5861658923910682</v>
      </c>
      <c r="G10" s="17">
        <f t="shared" si="1"/>
        <v>0.72572920010322739</v>
      </c>
      <c r="H10" s="17">
        <f t="shared" si="1"/>
        <v>0.86529250781538647</v>
      </c>
      <c r="I10" s="17">
        <f t="shared" si="1"/>
        <v>1.0048558155275455</v>
      </c>
      <c r="J10" s="17">
        <f t="shared" si="1"/>
        <v>1.1444191232397045</v>
      </c>
      <c r="K10" s="17">
        <f t="shared" si="1"/>
        <v>1.2839824309518637</v>
      </c>
      <c r="L10" s="17">
        <f t="shared" si="1"/>
        <v>1.4235457386640229</v>
      </c>
      <c r="M10" s="17">
        <f t="shared" si="1"/>
        <v>1.5631090463761816</v>
      </c>
      <c r="N10" s="17">
        <f t="shared" si="1"/>
        <v>1.7026723540883411</v>
      </c>
      <c r="O10" s="17">
        <f t="shared" si="1"/>
        <v>1.8422356618004998</v>
      </c>
      <c r="P10" s="17">
        <f t="shared" si="1"/>
        <v>1.981798969512659</v>
      </c>
      <c r="Q10" s="17">
        <f t="shared" si="1"/>
        <v>2.1213622772248182</v>
      </c>
      <c r="R10" s="17">
        <f t="shared" ref="R10:AA19" si="2">($B$1/1000)*((R$5+1)/1.01325)*(273.15/(273.15+$A10))*(288.15/(288.15)) * ($B$2 / 0.75)</f>
        <v>2.2609255849369774</v>
      </c>
      <c r="S10" s="17">
        <f t="shared" si="2"/>
        <v>2.4004888926491357</v>
      </c>
      <c r="T10" s="17">
        <f t="shared" si="2"/>
        <v>2.5400522003612958</v>
      </c>
      <c r="U10" s="17">
        <f t="shared" si="2"/>
        <v>2.6796155080734545</v>
      </c>
      <c r="V10" s="17">
        <f t="shared" si="2"/>
        <v>2.8191788157856137</v>
      </c>
      <c r="W10" s="17">
        <f t="shared" si="2"/>
        <v>2.9587421234977724</v>
      </c>
      <c r="X10" s="17">
        <f t="shared" si="2"/>
        <v>3.0983054312099321</v>
      </c>
      <c r="Y10" s="17">
        <f t="shared" si="2"/>
        <v>3.2378687389220908</v>
      </c>
      <c r="Z10" s="17">
        <f t="shared" si="2"/>
        <v>3.37743204663425</v>
      </c>
      <c r="AA10" s="17">
        <f t="shared" si="2"/>
        <v>3.5169953543464088</v>
      </c>
      <c r="AB10" s="17">
        <f t="shared" ref="AB10:AK19" si="3">($B$1/1000)*((AB$5+1)/1.01325)*(273.15/(273.15+$A10))*(288.15/(288.15)) * ($B$2 / 0.75)</f>
        <v>3.6565586620585679</v>
      </c>
      <c r="AC10" s="17">
        <f t="shared" si="3"/>
        <v>3.7961219697707267</v>
      </c>
      <c r="AD10" s="17">
        <f t="shared" si="3"/>
        <v>3.9356852774828863</v>
      </c>
      <c r="AE10" s="17">
        <f t="shared" si="3"/>
        <v>4.0752485851950455</v>
      </c>
      <c r="AF10" s="17">
        <f t="shared" si="3"/>
        <v>4.2148118929072043</v>
      </c>
      <c r="AG10" s="17">
        <f t="shared" si="3"/>
        <v>4.354375200619363</v>
      </c>
      <c r="AH10" s="17">
        <f t="shared" si="3"/>
        <v>4.4939385083315226</v>
      </c>
      <c r="AI10" s="17">
        <f t="shared" si="3"/>
        <v>4.6335018160436823</v>
      </c>
      <c r="AJ10" s="17">
        <f t="shared" si="3"/>
        <v>4.773065123755841</v>
      </c>
      <c r="AK10" s="17">
        <f t="shared" si="3"/>
        <v>4.9126284314679998</v>
      </c>
      <c r="AL10" s="17">
        <f t="shared" ref="AL10:AW19" si="4">($B$1/1000)*((AL$5+1)/1.01325)*(273.15/(273.15+$A10))*(288.15/(288.15)) * ($B$2 / 0.75)</f>
        <v>5.0521917391801585</v>
      </c>
      <c r="AM10" s="17">
        <f t="shared" si="4"/>
        <v>5.1917550468923181</v>
      </c>
      <c r="AN10" s="17">
        <f t="shared" si="4"/>
        <v>5.3313183546044769</v>
      </c>
      <c r="AO10" s="17">
        <f t="shared" si="4"/>
        <v>5.4708816623166356</v>
      </c>
      <c r="AP10" s="17">
        <f t="shared" si="4"/>
        <v>5.6104449700287953</v>
      </c>
      <c r="AQ10" s="17">
        <f t="shared" si="4"/>
        <v>5.7500082777409549</v>
      </c>
      <c r="AR10" s="17">
        <f t="shared" si="4"/>
        <v>5.8895715854531137</v>
      </c>
      <c r="AS10" s="17">
        <f t="shared" si="4"/>
        <v>6.0291348931652724</v>
      </c>
      <c r="AT10" s="17">
        <f t="shared" si="4"/>
        <v>6.1686982008774311</v>
      </c>
      <c r="AU10" s="17">
        <f t="shared" si="4"/>
        <v>6.3082615085895908</v>
      </c>
      <c r="AV10" s="17">
        <f t="shared" si="4"/>
        <v>6.4478248163017495</v>
      </c>
      <c r="AW10" s="17">
        <f t="shared" si="4"/>
        <v>6.5873881240139083</v>
      </c>
      <c r="AX10" s="17">
        <f t="shared" ref="AX10:BJ29" si="5">($B$1/1000)*((AX$5+1)/1.01325)*(273.15/(273.15+$A10))*(288.15/(288.15)) * ($B$2 / 0.75)</f>
        <v>6.7269514317260679</v>
      </c>
      <c r="AY10" s="17">
        <f t="shared" si="5"/>
        <v>6.8665147394382275</v>
      </c>
      <c r="AZ10" s="17">
        <f t="shared" si="5"/>
        <v>7.0060780471503863</v>
      </c>
      <c r="BA10" s="17">
        <f t="shared" si="5"/>
        <v>7.145641354862545</v>
      </c>
      <c r="BB10" s="17">
        <f t="shared" si="5"/>
        <v>7.2852046625747056</v>
      </c>
      <c r="BC10" s="17">
        <f t="shared" si="5"/>
        <v>7.4247679702868634</v>
      </c>
      <c r="BD10" s="17">
        <f t="shared" si="5"/>
        <v>7.5643312779990213</v>
      </c>
      <c r="BE10" s="17">
        <f t="shared" si="5"/>
        <v>7.7038945857111818</v>
      </c>
      <c r="BF10" s="17">
        <f t="shared" si="5"/>
        <v>7.8434578934233414</v>
      </c>
      <c r="BG10" s="17">
        <f t="shared" si="5"/>
        <v>7.9830212011355002</v>
      </c>
      <c r="BH10" s="17">
        <f t="shared" si="5"/>
        <v>8.1225845088476589</v>
      </c>
      <c r="BI10" s="17">
        <f t="shared" si="5"/>
        <v>8.2621478165598194</v>
      </c>
      <c r="BJ10" s="17">
        <f t="shared" si="5"/>
        <v>8.4017111242719764</v>
      </c>
    </row>
    <row r="11" spans="1:62" ht="18.75">
      <c r="A11" s="4">
        <v>-10</v>
      </c>
      <c r="B11" s="17">
        <f t="shared" si="0"/>
        <v>2.7700518950431578E-2</v>
      </c>
      <c r="C11" s="17">
        <f t="shared" ref="C11:Q25" si="6">($B$1/1000)*((C$5+1)/1.01325)*(273.15/(273.15+$A11))*(288.15/(288.15)) * ($B$2 / 0.75)</f>
        <v>0.16620311370258947</v>
      </c>
      <c r="D11" s="17">
        <f t="shared" si="6"/>
        <v>0.30470570845474737</v>
      </c>
      <c r="E11" s="17">
        <f t="shared" si="6"/>
        <v>0.44320830320690524</v>
      </c>
      <c r="F11" s="17">
        <f t="shared" si="6"/>
        <v>0.58171089795906306</v>
      </c>
      <c r="G11" s="17">
        <f t="shared" si="6"/>
        <v>0.72021349271122104</v>
      </c>
      <c r="H11" s="17">
        <f t="shared" si="6"/>
        <v>0.85871608746337902</v>
      </c>
      <c r="I11" s="17">
        <f t="shared" si="6"/>
        <v>0.99721868221553689</v>
      </c>
      <c r="J11" s="17">
        <f t="shared" si="6"/>
        <v>1.1357212769676948</v>
      </c>
      <c r="K11" s="17">
        <f t="shared" si="6"/>
        <v>1.2742238717198529</v>
      </c>
      <c r="L11" s="17">
        <f t="shared" si="6"/>
        <v>1.4127264664720107</v>
      </c>
      <c r="M11" s="17">
        <f t="shared" si="6"/>
        <v>1.5512290612241684</v>
      </c>
      <c r="N11" s="17">
        <f t="shared" si="6"/>
        <v>1.6897316559763262</v>
      </c>
      <c r="O11" s="17">
        <f t="shared" si="6"/>
        <v>1.8282342507284839</v>
      </c>
      <c r="P11" s="17">
        <f t="shared" si="6"/>
        <v>1.966736845480642</v>
      </c>
      <c r="Q11" s="17">
        <f t="shared" si="6"/>
        <v>2.1052394402328001</v>
      </c>
      <c r="R11" s="17">
        <f t="shared" si="2"/>
        <v>2.2437420349849577</v>
      </c>
      <c r="S11" s="17">
        <f t="shared" si="2"/>
        <v>2.3822446297371154</v>
      </c>
      <c r="T11" s="17">
        <f t="shared" si="2"/>
        <v>2.5207472244892739</v>
      </c>
      <c r="U11" s="17">
        <f t="shared" si="2"/>
        <v>2.6592498192414316</v>
      </c>
      <c r="V11" s="17">
        <f t="shared" si="2"/>
        <v>2.7977524139935896</v>
      </c>
      <c r="W11" s="17">
        <f t="shared" si="2"/>
        <v>2.9362550087457473</v>
      </c>
      <c r="X11" s="17">
        <f t="shared" si="2"/>
        <v>3.0747576034979054</v>
      </c>
      <c r="Y11" s="17">
        <f t="shared" si="2"/>
        <v>3.2132601982500635</v>
      </c>
      <c r="Z11" s="17">
        <f t="shared" si="2"/>
        <v>3.3517627930022211</v>
      </c>
      <c r="AA11" s="17">
        <f t="shared" si="2"/>
        <v>3.4902653877543792</v>
      </c>
      <c r="AB11" s="17">
        <f t="shared" si="3"/>
        <v>3.6287679825065364</v>
      </c>
      <c r="AC11" s="17">
        <f t="shared" si="3"/>
        <v>3.7672705772586945</v>
      </c>
      <c r="AD11" s="17">
        <f t="shared" si="3"/>
        <v>3.9057731720108531</v>
      </c>
      <c r="AE11" s="17">
        <f t="shared" si="3"/>
        <v>4.0442757667630103</v>
      </c>
      <c r="AF11" s="17">
        <f t="shared" si="3"/>
        <v>4.1827783615151679</v>
      </c>
      <c r="AG11" s="17">
        <f t="shared" si="3"/>
        <v>4.3212809562673264</v>
      </c>
      <c r="AH11" s="17">
        <f t="shared" si="3"/>
        <v>4.4597835510194841</v>
      </c>
      <c r="AI11" s="17">
        <f t="shared" si="3"/>
        <v>4.5982861457716426</v>
      </c>
      <c r="AJ11" s="17">
        <f t="shared" si="3"/>
        <v>4.7367887405238003</v>
      </c>
      <c r="AK11" s="17">
        <f t="shared" si="3"/>
        <v>4.8752913352759579</v>
      </c>
      <c r="AL11" s="17">
        <f t="shared" si="4"/>
        <v>5.0137939300281156</v>
      </c>
      <c r="AM11" s="17">
        <f t="shared" si="4"/>
        <v>5.1522965247802741</v>
      </c>
      <c r="AN11" s="17">
        <f t="shared" si="4"/>
        <v>5.2907991195324318</v>
      </c>
      <c r="AO11" s="17">
        <f t="shared" si="4"/>
        <v>5.4293017142845885</v>
      </c>
      <c r="AP11" s="17">
        <f t="shared" si="4"/>
        <v>5.5678043090367471</v>
      </c>
      <c r="AQ11" s="17">
        <f t="shared" si="4"/>
        <v>5.7063069037889047</v>
      </c>
      <c r="AR11" s="17">
        <f t="shared" si="4"/>
        <v>5.8448094985410632</v>
      </c>
      <c r="AS11" s="17">
        <f t="shared" si="4"/>
        <v>5.9833120932932209</v>
      </c>
      <c r="AT11" s="17">
        <f t="shared" si="4"/>
        <v>6.1218146880453785</v>
      </c>
      <c r="AU11" s="17">
        <f t="shared" si="4"/>
        <v>6.2603172827975362</v>
      </c>
      <c r="AV11" s="17">
        <f t="shared" si="4"/>
        <v>6.3988198775496947</v>
      </c>
      <c r="AW11" s="17">
        <f t="shared" si="4"/>
        <v>6.5373224723018524</v>
      </c>
      <c r="AX11" s="17">
        <f t="shared" si="5"/>
        <v>6.6758250670540109</v>
      </c>
      <c r="AY11" s="17">
        <f t="shared" si="5"/>
        <v>6.8143276618061677</v>
      </c>
      <c r="AZ11" s="17">
        <f t="shared" si="5"/>
        <v>6.9528302565583262</v>
      </c>
      <c r="BA11" s="17">
        <f t="shared" si="5"/>
        <v>7.0913328513104839</v>
      </c>
      <c r="BB11" s="17">
        <f t="shared" si="5"/>
        <v>7.2298354460626433</v>
      </c>
      <c r="BC11" s="17">
        <f t="shared" si="5"/>
        <v>7.3683380408148</v>
      </c>
      <c r="BD11" s="17">
        <f t="shared" si="5"/>
        <v>7.5068406355669568</v>
      </c>
      <c r="BE11" s="17">
        <f t="shared" si="5"/>
        <v>7.6453432303191153</v>
      </c>
      <c r="BF11" s="17">
        <f t="shared" si="5"/>
        <v>7.7838458250712739</v>
      </c>
      <c r="BG11" s="17">
        <f t="shared" si="5"/>
        <v>7.9223484198234315</v>
      </c>
      <c r="BH11" s="17">
        <f t="shared" si="5"/>
        <v>8.0608510145755901</v>
      </c>
      <c r="BI11" s="17">
        <f t="shared" si="5"/>
        <v>8.1993536093277477</v>
      </c>
      <c r="BJ11" s="17">
        <f t="shared" si="5"/>
        <v>8.3378562040799054</v>
      </c>
    </row>
    <row r="12" spans="1:62" ht="18.75">
      <c r="A12" s="4">
        <v>-8</v>
      </c>
      <c r="B12" s="17">
        <f t="shared" si="0"/>
        <v>2.7491576699249742E-2</v>
      </c>
      <c r="C12" s="17">
        <f t="shared" si="6"/>
        <v>0.16494946019549847</v>
      </c>
      <c r="D12" s="17">
        <f t="shared" si="6"/>
        <v>0.30240734369174715</v>
      </c>
      <c r="E12" s="17">
        <f t="shared" si="6"/>
        <v>0.43986522718799587</v>
      </c>
      <c r="F12" s="17">
        <f t="shared" si="6"/>
        <v>0.57732311068424458</v>
      </c>
      <c r="G12" s="17">
        <f t="shared" si="6"/>
        <v>0.71478099418049335</v>
      </c>
      <c r="H12" s="17">
        <f t="shared" si="6"/>
        <v>0.85223887767674211</v>
      </c>
      <c r="I12" s="17">
        <f t="shared" si="6"/>
        <v>0.98969676117299077</v>
      </c>
      <c r="J12" s="17">
        <f t="shared" si="6"/>
        <v>1.1271546446692393</v>
      </c>
      <c r="K12" s="17">
        <f t="shared" si="6"/>
        <v>1.2646125281654883</v>
      </c>
      <c r="L12" s="17">
        <f t="shared" si="6"/>
        <v>1.4020704116617371</v>
      </c>
      <c r="M12" s="17">
        <f t="shared" si="6"/>
        <v>1.5395282951579854</v>
      </c>
      <c r="N12" s="17">
        <f t="shared" si="6"/>
        <v>1.6769861786542346</v>
      </c>
      <c r="O12" s="17">
        <f t="shared" si="6"/>
        <v>1.8144440621504829</v>
      </c>
      <c r="P12" s="17">
        <f t="shared" si="6"/>
        <v>1.9519019456467317</v>
      </c>
      <c r="Q12" s="17">
        <f t="shared" si="6"/>
        <v>2.0893598291429809</v>
      </c>
      <c r="R12" s="17">
        <f t="shared" si="2"/>
        <v>2.2268177126392295</v>
      </c>
      <c r="S12" s="17">
        <f t="shared" si="2"/>
        <v>2.3642755961354776</v>
      </c>
      <c r="T12" s="17">
        <f t="shared" si="2"/>
        <v>2.5017334796317265</v>
      </c>
      <c r="U12" s="17">
        <f t="shared" si="2"/>
        <v>2.6391913631279755</v>
      </c>
      <c r="V12" s="17">
        <f t="shared" si="2"/>
        <v>2.7766492466242241</v>
      </c>
      <c r="W12" s="17">
        <f t="shared" si="2"/>
        <v>2.9141071301204731</v>
      </c>
      <c r="X12" s="17">
        <f t="shared" si="2"/>
        <v>3.0515650136167216</v>
      </c>
      <c r="Y12" s="17">
        <f t="shared" si="2"/>
        <v>3.1890228971129706</v>
      </c>
      <c r="Z12" s="17">
        <f t="shared" si="2"/>
        <v>3.3264807806092191</v>
      </c>
      <c r="AA12" s="17">
        <f t="shared" si="2"/>
        <v>3.4639386641054677</v>
      </c>
      <c r="AB12" s="17">
        <f t="shared" si="3"/>
        <v>3.6013965476017158</v>
      </c>
      <c r="AC12" s="17">
        <f t="shared" si="3"/>
        <v>3.7388544310979643</v>
      </c>
      <c r="AD12" s="17">
        <f t="shared" si="3"/>
        <v>3.8763123145942142</v>
      </c>
      <c r="AE12" s="17">
        <f t="shared" si="3"/>
        <v>4.0137701980904623</v>
      </c>
      <c r="AF12" s="17">
        <f t="shared" si="3"/>
        <v>4.1512280815867113</v>
      </c>
      <c r="AG12" s="17">
        <f t="shared" si="3"/>
        <v>4.2886859650829603</v>
      </c>
      <c r="AH12" s="17">
        <f t="shared" si="3"/>
        <v>4.4261438485792093</v>
      </c>
      <c r="AI12" s="17">
        <f t="shared" si="3"/>
        <v>4.5636017320754574</v>
      </c>
      <c r="AJ12" s="17">
        <f t="shared" si="3"/>
        <v>4.7010596155717064</v>
      </c>
      <c r="AK12" s="17">
        <f t="shared" si="3"/>
        <v>4.8385174990679545</v>
      </c>
      <c r="AL12" s="17">
        <f t="shared" si="4"/>
        <v>4.9759753825642035</v>
      </c>
      <c r="AM12" s="17">
        <f t="shared" si="4"/>
        <v>5.1134332660604516</v>
      </c>
      <c r="AN12" s="17">
        <f t="shared" si="4"/>
        <v>5.2508911495567014</v>
      </c>
      <c r="AO12" s="17">
        <f t="shared" si="4"/>
        <v>5.3883490330529504</v>
      </c>
      <c r="AP12" s="17">
        <f t="shared" si="4"/>
        <v>5.5258069165491985</v>
      </c>
      <c r="AQ12" s="17">
        <f t="shared" si="4"/>
        <v>5.6632648000454475</v>
      </c>
      <c r="AR12" s="17">
        <f t="shared" si="4"/>
        <v>5.8007226835416956</v>
      </c>
      <c r="AS12" s="17">
        <f t="shared" si="4"/>
        <v>5.9381805670379446</v>
      </c>
      <c r="AT12" s="17">
        <f t="shared" si="4"/>
        <v>6.0756384505341927</v>
      </c>
      <c r="AU12" s="17">
        <f t="shared" si="4"/>
        <v>6.2130963340304417</v>
      </c>
      <c r="AV12" s="17">
        <f t="shared" si="4"/>
        <v>6.3505542175266916</v>
      </c>
      <c r="AW12" s="17">
        <f t="shared" si="4"/>
        <v>6.4880121010229397</v>
      </c>
      <c r="AX12" s="17">
        <f t="shared" si="5"/>
        <v>6.6254699845191887</v>
      </c>
      <c r="AY12" s="17">
        <f t="shared" si="5"/>
        <v>6.7629278680154368</v>
      </c>
      <c r="AZ12" s="17">
        <f t="shared" si="5"/>
        <v>6.9003857515116858</v>
      </c>
      <c r="BA12" s="17">
        <f t="shared" si="5"/>
        <v>7.0378436350079339</v>
      </c>
      <c r="BB12" s="17">
        <f t="shared" si="5"/>
        <v>7.1753015185041837</v>
      </c>
      <c r="BC12" s="17">
        <f t="shared" si="5"/>
        <v>7.3127594020004318</v>
      </c>
      <c r="BD12" s="17">
        <f t="shared" si="5"/>
        <v>7.4502172854966791</v>
      </c>
      <c r="BE12" s="17">
        <f t="shared" si="5"/>
        <v>7.5876751689929298</v>
      </c>
      <c r="BF12" s="17">
        <f t="shared" si="5"/>
        <v>7.7251330524891779</v>
      </c>
      <c r="BG12" s="17">
        <f t="shared" si="5"/>
        <v>7.8625909359854269</v>
      </c>
      <c r="BH12" s="17">
        <f t="shared" si="5"/>
        <v>8.000048819481675</v>
      </c>
      <c r="BI12" s="17">
        <f t="shared" si="5"/>
        <v>8.1375067029779249</v>
      </c>
      <c r="BJ12" s="17">
        <f t="shared" si="5"/>
        <v>8.274964586474173</v>
      </c>
    </row>
    <row r="13" spans="1:62" ht="18.75">
      <c r="A13" s="4">
        <v>-6</v>
      </c>
      <c r="B13" s="17">
        <f t="shared" si="0"/>
        <v>2.7285762911495676E-2</v>
      </c>
      <c r="C13" s="17">
        <f t="shared" si="6"/>
        <v>0.16371457746897408</v>
      </c>
      <c r="D13" s="17">
        <f t="shared" si="6"/>
        <v>0.30014339202645246</v>
      </c>
      <c r="E13" s="17">
        <f t="shared" si="6"/>
        <v>0.43657220658393081</v>
      </c>
      <c r="F13" s="17">
        <f t="shared" si="6"/>
        <v>0.57300102114140916</v>
      </c>
      <c r="G13" s="17">
        <f t="shared" si="6"/>
        <v>0.70942983569888762</v>
      </c>
      <c r="H13" s="17">
        <f t="shared" si="6"/>
        <v>0.84585865025636597</v>
      </c>
      <c r="I13" s="17">
        <f t="shared" si="6"/>
        <v>0.98228746481384432</v>
      </c>
      <c r="J13" s="17">
        <f t="shared" si="6"/>
        <v>1.1187162793713228</v>
      </c>
      <c r="K13" s="17">
        <f t="shared" si="6"/>
        <v>1.2551450939288014</v>
      </c>
      <c r="L13" s="17">
        <f t="shared" si="6"/>
        <v>1.3915739084862795</v>
      </c>
      <c r="M13" s="17">
        <f t="shared" si="6"/>
        <v>1.5280027230437576</v>
      </c>
      <c r="N13" s="17">
        <f t="shared" si="6"/>
        <v>1.6644315376012364</v>
      </c>
      <c r="O13" s="17">
        <f t="shared" si="6"/>
        <v>1.8008603521587145</v>
      </c>
      <c r="P13" s="17">
        <f t="shared" si="6"/>
        <v>1.9372891667161929</v>
      </c>
      <c r="Q13" s="17">
        <f t="shared" si="6"/>
        <v>2.0737179812736715</v>
      </c>
      <c r="R13" s="17">
        <f t="shared" si="2"/>
        <v>2.2101467958311503</v>
      </c>
      <c r="S13" s="17">
        <f t="shared" si="2"/>
        <v>2.3465756103886282</v>
      </c>
      <c r="T13" s="17">
        <f t="shared" si="2"/>
        <v>2.483004424946107</v>
      </c>
      <c r="U13" s="17">
        <f t="shared" si="2"/>
        <v>2.6194332395035853</v>
      </c>
      <c r="V13" s="17">
        <f t="shared" si="2"/>
        <v>2.7558620540610632</v>
      </c>
      <c r="W13" s="17">
        <f t="shared" si="2"/>
        <v>2.8922908686185416</v>
      </c>
      <c r="X13" s="17">
        <f t="shared" si="2"/>
        <v>3.0287196831760199</v>
      </c>
      <c r="Y13" s="17">
        <f t="shared" si="2"/>
        <v>3.1651484977334983</v>
      </c>
      <c r="Z13" s="17">
        <f t="shared" si="2"/>
        <v>3.3015773122909766</v>
      </c>
      <c r="AA13" s="17">
        <f t="shared" si="2"/>
        <v>3.438006126848455</v>
      </c>
      <c r="AB13" s="17">
        <f t="shared" si="3"/>
        <v>3.5744349414059329</v>
      </c>
      <c r="AC13" s="17">
        <f t="shared" si="3"/>
        <v>3.7108637559634117</v>
      </c>
      <c r="AD13" s="17">
        <f t="shared" si="3"/>
        <v>3.8472925705208905</v>
      </c>
      <c r="AE13" s="17">
        <f t="shared" si="3"/>
        <v>3.9837213850783688</v>
      </c>
      <c r="AF13" s="17">
        <f t="shared" si="3"/>
        <v>4.1201501996358472</v>
      </c>
      <c r="AG13" s="17">
        <f t="shared" si="3"/>
        <v>4.256579014193326</v>
      </c>
      <c r="AH13" s="17">
        <f t="shared" si="3"/>
        <v>4.3930078287508039</v>
      </c>
      <c r="AI13" s="17">
        <f t="shared" si="3"/>
        <v>4.5294366433082827</v>
      </c>
      <c r="AJ13" s="17">
        <f t="shared" si="3"/>
        <v>4.6658654578657606</v>
      </c>
      <c r="AK13" s="17">
        <f t="shared" si="3"/>
        <v>4.8022942724232394</v>
      </c>
      <c r="AL13" s="17">
        <f t="shared" si="4"/>
        <v>4.9387230869807173</v>
      </c>
      <c r="AM13" s="17">
        <f t="shared" si="4"/>
        <v>5.0751519015381961</v>
      </c>
      <c r="AN13" s="17">
        <f t="shared" si="4"/>
        <v>5.211580716095674</v>
      </c>
      <c r="AO13" s="17">
        <f t="shared" si="4"/>
        <v>5.3480095306531519</v>
      </c>
      <c r="AP13" s="17">
        <f t="shared" si="4"/>
        <v>5.4844383452106307</v>
      </c>
      <c r="AQ13" s="17">
        <f t="shared" si="4"/>
        <v>5.6208671597681086</v>
      </c>
      <c r="AR13" s="17">
        <f t="shared" si="4"/>
        <v>5.7572959743255874</v>
      </c>
      <c r="AS13" s="17">
        <f t="shared" si="4"/>
        <v>5.8937247888830653</v>
      </c>
      <c r="AT13" s="17">
        <f t="shared" si="4"/>
        <v>6.030153603440545</v>
      </c>
      <c r="AU13" s="17">
        <f t="shared" si="4"/>
        <v>6.1665824179980229</v>
      </c>
      <c r="AV13" s="17">
        <f t="shared" si="4"/>
        <v>6.3030112325555017</v>
      </c>
      <c r="AW13" s="17">
        <f t="shared" si="4"/>
        <v>6.4394400471129796</v>
      </c>
      <c r="AX13" s="17">
        <f t="shared" si="5"/>
        <v>6.5758688616704584</v>
      </c>
      <c r="AY13" s="17">
        <f t="shared" si="5"/>
        <v>6.7122976762279363</v>
      </c>
      <c r="AZ13" s="17">
        <f t="shared" si="5"/>
        <v>6.8487264907854151</v>
      </c>
      <c r="BA13" s="17">
        <f t="shared" si="5"/>
        <v>6.985155305342893</v>
      </c>
      <c r="BB13" s="17">
        <f t="shared" si="5"/>
        <v>7.1215841199003727</v>
      </c>
      <c r="BC13" s="17">
        <f t="shared" si="5"/>
        <v>7.2580129344578497</v>
      </c>
      <c r="BD13" s="17">
        <f t="shared" si="5"/>
        <v>7.3944417490153276</v>
      </c>
      <c r="BE13" s="17">
        <f t="shared" si="5"/>
        <v>7.5308705635728064</v>
      </c>
      <c r="BF13" s="17">
        <f t="shared" si="5"/>
        <v>7.6672993781302852</v>
      </c>
      <c r="BG13" s="17">
        <f t="shared" si="5"/>
        <v>7.8037281926877631</v>
      </c>
      <c r="BH13" s="17">
        <f t="shared" si="5"/>
        <v>7.9401570072452419</v>
      </c>
      <c r="BI13" s="17">
        <f t="shared" si="5"/>
        <v>8.0765858218027216</v>
      </c>
      <c r="BJ13" s="17">
        <f t="shared" si="5"/>
        <v>8.2130146363601977</v>
      </c>
    </row>
    <row r="14" spans="1:62" ht="18.75">
      <c r="A14" s="4">
        <v>-4</v>
      </c>
      <c r="B14" s="17">
        <f t="shared" si="0"/>
        <v>2.708300784620498E-2</v>
      </c>
      <c r="C14" s="17">
        <f t="shared" si="6"/>
        <v>0.1624980470772299</v>
      </c>
      <c r="D14" s="17">
        <f t="shared" si="6"/>
        <v>0.2979130863082548</v>
      </c>
      <c r="E14" s="17">
        <f t="shared" si="6"/>
        <v>0.43332812553927968</v>
      </c>
      <c r="F14" s="17">
        <f t="shared" si="6"/>
        <v>0.56874316477030451</v>
      </c>
      <c r="G14" s="17">
        <f t="shared" si="6"/>
        <v>0.70415820400132945</v>
      </c>
      <c r="H14" s="17">
        <f t="shared" si="6"/>
        <v>0.83957324323235438</v>
      </c>
      <c r="I14" s="17">
        <f t="shared" si="6"/>
        <v>0.97498828246337921</v>
      </c>
      <c r="J14" s="17">
        <f t="shared" si="6"/>
        <v>1.110403321694404</v>
      </c>
      <c r="K14" s="17">
        <f t="shared" si="6"/>
        <v>1.2458183609254292</v>
      </c>
      <c r="L14" s="17">
        <f t="shared" si="6"/>
        <v>1.3812334001564541</v>
      </c>
      <c r="M14" s="17">
        <f t="shared" si="6"/>
        <v>1.5166484393874786</v>
      </c>
      <c r="N14" s="17">
        <f t="shared" si="6"/>
        <v>1.6520634786185038</v>
      </c>
      <c r="O14" s="17">
        <f t="shared" si="6"/>
        <v>1.7874785178495285</v>
      </c>
      <c r="P14" s="17">
        <f t="shared" si="6"/>
        <v>1.9228935570805537</v>
      </c>
      <c r="Q14" s="17">
        <f t="shared" si="6"/>
        <v>2.0583085963115786</v>
      </c>
      <c r="R14" s="17">
        <f t="shared" si="2"/>
        <v>2.1937236355426037</v>
      </c>
      <c r="S14" s="17">
        <f t="shared" si="2"/>
        <v>2.329138674773628</v>
      </c>
      <c r="T14" s="17">
        <f t="shared" si="2"/>
        <v>2.4645537140046532</v>
      </c>
      <c r="U14" s="17">
        <f t="shared" si="2"/>
        <v>2.5999687532356783</v>
      </c>
      <c r="V14" s="17">
        <f t="shared" si="2"/>
        <v>2.735383792466703</v>
      </c>
      <c r="W14" s="17">
        <f t="shared" si="2"/>
        <v>2.8707988316977278</v>
      </c>
      <c r="X14" s="17">
        <f t="shared" si="2"/>
        <v>3.0062138709287529</v>
      </c>
      <c r="Y14" s="17">
        <f t="shared" si="2"/>
        <v>3.1416289101597776</v>
      </c>
      <c r="Z14" s="17">
        <f t="shared" si="2"/>
        <v>3.2770439493908028</v>
      </c>
      <c r="AA14" s="17">
        <f t="shared" si="2"/>
        <v>3.4124589886218275</v>
      </c>
      <c r="AB14" s="17">
        <f t="shared" si="3"/>
        <v>3.5478740278528518</v>
      </c>
      <c r="AC14" s="17">
        <f t="shared" si="3"/>
        <v>3.6832890670838769</v>
      </c>
      <c r="AD14" s="17">
        <f t="shared" si="3"/>
        <v>3.8187041063149021</v>
      </c>
      <c r="AE14" s="17">
        <f t="shared" si="3"/>
        <v>3.9541191455459268</v>
      </c>
      <c r="AF14" s="17">
        <f t="shared" si="3"/>
        <v>4.0895341847769524</v>
      </c>
      <c r="AG14" s="17">
        <f t="shared" si="3"/>
        <v>4.2249492240079771</v>
      </c>
      <c r="AH14" s="17">
        <f t="shared" si="3"/>
        <v>4.3603642632390018</v>
      </c>
      <c r="AI14" s="17">
        <f t="shared" si="3"/>
        <v>4.4957793024700266</v>
      </c>
      <c r="AJ14" s="17">
        <f t="shared" si="3"/>
        <v>4.6311943417010513</v>
      </c>
      <c r="AK14" s="17">
        <f t="shared" si="3"/>
        <v>4.7666093809320769</v>
      </c>
      <c r="AL14" s="17">
        <f t="shared" si="4"/>
        <v>4.9020244201631016</v>
      </c>
      <c r="AM14" s="17">
        <f t="shared" si="4"/>
        <v>5.0374394593941263</v>
      </c>
      <c r="AN14" s="17">
        <f t="shared" si="4"/>
        <v>5.172854498625151</v>
      </c>
      <c r="AO14" s="17">
        <f t="shared" si="4"/>
        <v>5.3082695378561766</v>
      </c>
      <c r="AP14" s="17">
        <f t="shared" si="4"/>
        <v>5.4436845770872004</v>
      </c>
      <c r="AQ14" s="17">
        <f t="shared" si="4"/>
        <v>5.579099616318226</v>
      </c>
      <c r="AR14" s="17">
        <f t="shared" si="4"/>
        <v>5.7145146555492508</v>
      </c>
      <c r="AS14" s="17">
        <f t="shared" si="4"/>
        <v>5.8499296947802755</v>
      </c>
      <c r="AT14" s="17">
        <f t="shared" si="4"/>
        <v>5.9853447340113002</v>
      </c>
      <c r="AU14" s="17">
        <f t="shared" si="4"/>
        <v>6.1207597732423258</v>
      </c>
      <c r="AV14" s="17">
        <f t="shared" si="4"/>
        <v>6.2561748124733496</v>
      </c>
      <c r="AW14" s="17">
        <f t="shared" si="4"/>
        <v>6.3915898517043752</v>
      </c>
      <c r="AX14" s="17">
        <f t="shared" si="5"/>
        <v>6.5270048909353999</v>
      </c>
      <c r="AY14" s="17">
        <f t="shared" si="5"/>
        <v>6.6624199301664246</v>
      </c>
      <c r="AZ14" s="17">
        <f t="shared" si="5"/>
        <v>6.7978349693974494</v>
      </c>
      <c r="BA14" s="17">
        <f t="shared" si="5"/>
        <v>6.933250008628475</v>
      </c>
      <c r="BB14" s="17">
        <f t="shared" si="5"/>
        <v>7.0686650478595006</v>
      </c>
      <c r="BC14" s="17">
        <f t="shared" si="5"/>
        <v>7.2040800870905244</v>
      </c>
      <c r="BD14" s="17">
        <f t="shared" si="5"/>
        <v>7.3394951263215482</v>
      </c>
      <c r="BE14" s="17">
        <f t="shared" si="5"/>
        <v>7.4749101655525747</v>
      </c>
      <c r="BF14" s="17">
        <f t="shared" si="5"/>
        <v>7.6103252047835985</v>
      </c>
      <c r="BG14" s="17">
        <f t="shared" si="5"/>
        <v>7.7457402440146241</v>
      </c>
      <c r="BH14" s="17">
        <f t="shared" si="5"/>
        <v>7.8811552832456488</v>
      </c>
      <c r="BI14" s="17">
        <f t="shared" si="5"/>
        <v>8.0165703224766744</v>
      </c>
      <c r="BJ14" s="17">
        <f t="shared" si="5"/>
        <v>8.1519853617076983</v>
      </c>
    </row>
    <row r="15" spans="1:62" ht="18.75">
      <c r="A15" s="4">
        <v>-2</v>
      </c>
      <c r="B15" s="17">
        <f t="shared" si="0"/>
        <v>2.6883243820048204E-2</v>
      </c>
      <c r="C15" s="17">
        <f t="shared" si="6"/>
        <v>0.16129946292028924</v>
      </c>
      <c r="D15" s="17">
        <f t="shared" si="6"/>
        <v>0.29571568202053022</v>
      </c>
      <c r="E15" s="17">
        <f t="shared" si="6"/>
        <v>0.43013190112077127</v>
      </c>
      <c r="F15" s="17">
        <f t="shared" si="6"/>
        <v>0.5645481202210122</v>
      </c>
      <c r="G15" s="17">
        <f t="shared" si="6"/>
        <v>0.69896433932125335</v>
      </c>
      <c r="H15" s="17">
        <f t="shared" si="6"/>
        <v>0.83338055842149428</v>
      </c>
      <c r="I15" s="17">
        <f t="shared" si="6"/>
        <v>0.96779677752173543</v>
      </c>
      <c r="J15" s="17">
        <f t="shared" si="6"/>
        <v>1.1022129966219762</v>
      </c>
      <c r="K15" s="17">
        <f t="shared" si="6"/>
        <v>1.2366292157222174</v>
      </c>
      <c r="L15" s="17">
        <f t="shared" si="6"/>
        <v>1.3710454348224586</v>
      </c>
      <c r="M15" s="17">
        <f t="shared" si="6"/>
        <v>1.5054616539226993</v>
      </c>
      <c r="N15" s="17">
        <f t="shared" si="6"/>
        <v>1.6398778730229404</v>
      </c>
      <c r="O15" s="17">
        <f t="shared" si="6"/>
        <v>1.7742940921231813</v>
      </c>
      <c r="P15" s="17">
        <f t="shared" si="6"/>
        <v>1.9087103112234223</v>
      </c>
      <c r="Q15" s="17">
        <f t="shared" si="6"/>
        <v>2.0431265303236636</v>
      </c>
      <c r="R15" s="17">
        <f t="shared" si="2"/>
        <v>2.1775427494239046</v>
      </c>
      <c r="S15" s="17">
        <f t="shared" si="2"/>
        <v>2.3119589685241451</v>
      </c>
      <c r="T15" s="17">
        <f t="shared" si="2"/>
        <v>2.4463751876243864</v>
      </c>
      <c r="U15" s="17">
        <f t="shared" si="2"/>
        <v>2.5807914067246278</v>
      </c>
      <c r="V15" s="17">
        <f t="shared" si="2"/>
        <v>2.7152076258248687</v>
      </c>
      <c r="W15" s="17">
        <f t="shared" si="2"/>
        <v>2.8496238449251092</v>
      </c>
      <c r="X15" s="17">
        <f t="shared" si="2"/>
        <v>2.9840400640253506</v>
      </c>
      <c r="Y15" s="17">
        <f t="shared" si="2"/>
        <v>3.1184562831255915</v>
      </c>
      <c r="Z15" s="17">
        <f t="shared" si="2"/>
        <v>3.2528725022258325</v>
      </c>
      <c r="AA15" s="17">
        <f t="shared" si="2"/>
        <v>3.3872887213260738</v>
      </c>
      <c r="AB15" s="17">
        <f t="shared" si="3"/>
        <v>3.5217049404263143</v>
      </c>
      <c r="AC15" s="17">
        <f t="shared" si="3"/>
        <v>3.6561211595265553</v>
      </c>
      <c r="AD15" s="17">
        <f t="shared" si="3"/>
        <v>3.7905373786267971</v>
      </c>
      <c r="AE15" s="17">
        <f t="shared" si="3"/>
        <v>3.9249535977270376</v>
      </c>
      <c r="AF15" s="17">
        <f t="shared" si="3"/>
        <v>4.0593698168272789</v>
      </c>
      <c r="AG15" s="17">
        <f t="shared" si="3"/>
        <v>4.1937860359275199</v>
      </c>
      <c r="AH15" s="17">
        <f t="shared" si="3"/>
        <v>4.3282022550277599</v>
      </c>
      <c r="AI15" s="17">
        <f t="shared" si="3"/>
        <v>4.4626184741280017</v>
      </c>
      <c r="AJ15" s="17">
        <f t="shared" si="3"/>
        <v>4.5970346932282427</v>
      </c>
      <c r="AK15" s="17">
        <f t="shared" si="3"/>
        <v>4.7314509123284836</v>
      </c>
      <c r="AL15" s="17">
        <f t="shared" si="4"/>
        <v>4.8658671314287245</v>
      </c>
      <c r="AM15" s="17">
        <f t="shared" si="4"/>
        <v>5.0002833505289663</v>
      </c>
      <c r="AN15" s="17">
        <f t="shared" si="4"/>
        <v>5.1346995696292064</v>
      </c>
      <c r="AO15" s="17">
        <f t="shared" si="4"/>
        <v>5.2691157887294482</v>
      </c>
      <c r="AP15" s="17">
        <f t="shared" si="4"/>
        <v>5.4035320078296891</v>
      </c>
      <c r="AQ15" s="17">
        <f t="shared" si="4"/>
        <v>5.5379482269299292</v>
      </c>
      <c r="AR15" s="17">
        <f t="shared" si="4"/>
        <v>5.672364446030171</v>
      </c>
      <c r="AS15" s="17">
        <f t="shared" si="4"/>
        <v>5.8067806651304119</v>
      </c>
      <c r="AT15" s="17">
        <f t="shared" si="4"/>
        <v>5.9411968842306528</v>
      </c>
      <c r="AU15" s="17">
        <f t="shared" si="4"/>
        <v>6.0756131033308938</v>
      </c>
      <c r="AV15" s="17">
        <f t="shared" si="4"/>
        <v>6.2100293224311356</v>
      </c>
      <c r="AW15" s="17">
        <f t="shared" si="4"/>
        <v>6.3444455415313756</v>
      </c>
      <c r="AX15" s="17">
        <f t="shared" si="5"/>
        <v>6.4788617606316166</v>
      </c>
      <c r="AY15" s="17">
        <f t="shared" si="5"/>
        <v>6.6132779797318584</v>
      </c>
      <c r="AZ15" s="17">
        <f t="shared" si="5"/>
        <v>6.7476941988320984</v>
      </c>
      <c r="BA15" s="17">
        <f t="shared" si="5"/>
        <v>6.8821104179323402</v>
      </c>
      <c r="BB15" s="17">
        <f t="shared" si="5"/>
        <v>7.0165266370325821</v>
      </c>
      <c r="BC15" s="17">
        <f t="shared" si="5"/>
        <v>7.1509428561328221</v>
      </c>
      <c r="BD15" s="17">
        <f t="shared" si="5"/>
        <v>7.2853590752330621</v>
      </c>
      <c r="BE15" s="17">
        <f t="shared" si="5"/>
        <v>7.419775294333304</v>
      </c>
      <c r="BF15" s="17">
        <f t="shared" si="5"/>
        <v>7.5541915134335449</v>
      </c>
      <c r="BG15" s="17">
        <f t="shared" si="5"/>
        <v>7.6886077325337858</v>
      </c>
      <c r="BH15" s="17">
        <f t="shared" si="5"/>
        <v>7.8230239516340268</v>
      </c>
      <c r="BI15" s="17">
        <f t="shared" si="5"/>
        <v>7.9574401707342686</v>
      </c>
      <c r="BJ15" s="17">
        <f t="shared" si="5"/>
        <v>8.0918563898345095</v>
      </c>
    </row>
    <row r="16" spans="1:62" ht="18.75">
      <c r="A16" s="4">
        <v>0</v>
      </c>
      <c r="B16" s="17">
        <f t="shared" si="0"/>
        <v>2.6686405132000986E-2</v>
      </c>
      <c r="C16" s="17">
        <f t="shared" si="6"/>
        <v>0.16011843079200594</v>
      </c>
      <c r="D16" s="17">
        <f t="shared" si="6"/>
        <v>0.29355045645201083</v>
      </c>
      <c r="E16" s="17">
        <f t="shared" si="6"/>
        <v>0.42698248211201578</v>
      </c>
      <c r="F16" s="17">
        <f t="shared" si="6"/>
        <v>0.56041450777202062</v>
      </c>
      <c r="G16" s="17">
        <f t="shared" si="6"/>
        <v>0.69384653343202574</v>
      </c>
      <c r="H16" s="17">
        <f t="shared" si="6"/>
        <v>0.82727855909203063</v>
      </c>
      <c r="I16" s="17">
        <f t="shared" si="6"/>
        <v>0.96071058475203552</v>
      </c>
      <c r="J16" s="17">
        <f t="shared" si="6"/>
        <v>1.0941426104120404</v>
      </c>
      <c r="K16" s="17">
        <f t="shared" si="6"/>
        <v>1.2275746360720456</v>
      </c>
      <c r="L16" s="17">
        <f t="shared" si="6"/>
        <v>1.3610066617320504</v>
      </c>
      <c r="M16" s="17">
        <f t="shared" si="6"/>
        <v>1.4944386873920552</v>
      </c>
      <c r="N16" s="17">
        <f t="shared" si="6"/>
        <v>1.6278707130520602</v>
      </c>
      <c r="O16" s="17">
        <f t="shared" si="6"/>
        <v>1.761302738712065</v>
      </c>
      <c r="P16" s="17">
        <f t="shared" si="6"/>
        <v>1.89473476437207</v>
      </c>
      <c r="Q16" s="17">
        <f t="shared" si="6"/>
        <v>2.028166790032075</v>
      </c>
      <c r="R16" s="17">
        <f t="shared" si="2"/>
        <v>2.1615988156920802</v>
      </c>
      <c r="S16" s="17">
        <f t="shared" si="2"/>
        <v>2.2950308413520846</v>
      </c>
      <c r="T16" s="17">
        <f t="shared" si="2"/>
        <v>2.4284628670120898</v>
      </c>
      <c r="U16" s="17">
        <f t="shared" si="2"/>
        <v>2.561894892672095</v>
      </c>
      <c r="V16" s="17">
        <f t="shared" si="2"/>
        <v>2.6953269183320998</v>
      </c>
      <c r="W16" s="17">
        <f t="shared" si="2"/>
        <v>2.8287589439921046</v>
      </c>
      <c r="X16" s="17">
        <f t="shared" si="2"/>
        <v>2.9621909696521098</v>
      </c>
      <c r="Y16" s="17">
        <f t="shared" si="2"/>
        <v>3.0956229953121146</v>
      </c>
      <c r="Z16" s="17">
        <f t="shared" si="2"/>
        <v>3.2290550209721194</v>
      </c>
      <c r="AA16" s="17">
        <f t="shared" si="2"/>
        <v>3.3624870466321246</v>
      </c>
      <c r="AB16" s="17">
        <f t="shared" si="3"/>
        <v>3.4959190722921289</v>
      </c>
      <c r="AC16" s="17">
        <f t="shared" si="3"/>
        <v>3.6293510979521337</v>
      </c>
      <c r="AD16" s="17">
        <f t="shared" si="3"/>
        <v>3.7627831236121394</v>
      </c>
      <c r="AE16" s="17">
        <f t="shared" si="3"/>
        <v>3.8962151492721442</v>
      </c>
      <c r="AF16" s="17">
        <f t="shared" si="3"/>
        <v>4.0296471749321494</v>
      </c>
      <c r="AG16" s="17">
        <f t="shared" si="3"/>
        <v>4.1630792005921542</v>
      </c>
      <c r="AH16" s="17">
        <f t="shared" si="3"/>
        <v>4.296511226252159</v>
      </c>
      <c r="AI16" s="17">
        <f t="shared" si="3"/>
        <v>4.4299432519121638</v>
      </c>
      <c r="AJ16" s="17">
        <f t="shared" si="3"/>
        <v>4.5633752775721685</v>
      </c>
      <c r="AK16" s="17">
        <f t="shared" si="3"/>
        <v>4.6968073032321733</v>
      </c>
      <c r="AL16" s="17">
        <f t="shared" si="4"/>
        <v>4.830239328892179</v>
      </c>
      <c r="AM16" s="17">
        <f t="shared" si="4"/>
        <v>4.9636713545521838</v>
      </c>
      <c r="AN16" s="17">
        <f t="shared" si="4"/>
        <v>5.0971033802121886</v>
      </c>
      <c r="AO16" s="17">
        <f t="shared" si="4"/>
        <v>5.2305354058721933</v>
      </c>
      <c r="AP16" s="17">
        <f t="shared" si="4"/>
        <v>5.3639674315321981</v>
      </c>
      <c r="AQ16" s="17">
        <f t="shared" si="4"/>
        <v>5.4973994571922029</v>
      </c>
      <c r="AR16" s="17">
        <f t="shared" si="4"/>
        <v>5.6308314828522086</v>
      </c>
      <c r="AS16" s="17">
        <f t="shared" si="4"/>
        <v>5.7642635085122134</v>
      </c>
      <c r="AT16" s="17">
        <f t="shared" si="4"/>
        <v>5.8976955341722181</v>
      </c>
      <c r="AU16" s="17">
        <f t="shared" si="4"/>
        <v>6.0311275598322229</v>
      </c>
      <c r="AV16" s="17">
        <f t="shared" si="4"/>
        <v>6.1645595854922277</v>
      </c>
      <c r="AW16" s="17">
        <f t="shared" si="4"/>
        <v>6.2979916111522325</v>
      </c>
      <c r="AX16" s="17">
        <f t="shared" si="5"/>
        <v>6.4314236368122382</v>
      </c>
      <c r="AY16" s="17">
        <f t="shared" si="5"/>
        <v>6.5648556624722429</v>
      </c>
      <c r="AZ16" s="17">
        <f t="shared" si="5"/>
        <v>6.6982876881322477</v>
      </c>
      <c r="BA16" s="17">
        <f t="shared" si="5"/>
        <v>6.8317197137922525</v>
      </c>
      <c r="BB16" s="17">
        <f t="shared" si="5"/>
        <v>6.9651517394522582</v>
      </c>
      <c r="BC16" s="17">
        <f t="shared" si="5"/>
        <v>7.0985837651122621</v>
      </c>
      <c r="BD16" s="17">
        <f t="shared" si="5"/>
        <v>7.2320157907722669</v>
      </c>
      <c r="BE16" s="17">
        <f t="shared" si="5"/>
        <v>7.3654478164322725</v>
      </c>
      <c r="BF16" s="17">
        <f t="shared" si="5"/>
        <v>7.4988798420922773</v>
      </c>
      <c r="BG16" s="17">
        <f t="shared" si="5"/>
        <v>7.6323118677522821</v>
      </c>
      <c r="BH16" s="17">
        <f t="shared" si="5"/>
        <v>7.7657438934122869</v>
      </c>
      <c r="BI16" s="17">
        <f t="shared" si="5"/>
        <v>7.8991759190722926</v>
      </c>
      <c r="BJ16" s="17">
        <f t="shared" si="5"/>
        <v>8.0326079447322964</v>
      </c>
    </row>
    <row r="17" spans="1:62" ht="18.75">
      <c r="A17" s="2">
        <v>2</v>
      </c>
      <c r="B17" s="17">
        <f t="shared" si="0"/>
        <v>2.6492427991299545E-2</v>
      </c>
      <c r="C17" s="17">
        <f t="shared" si="6"/>
        <v>0.15895456794779728</v>
      </c>
      <c r="D17" s="17">
        <f t="shared" si="6"/>
        <v>0.29141670790429502</v>
      </c>
      <c r="E17" s="17">
        <f t="shared" si="6"/>
        <v>0.42387884786079272</v>
      </c>
      <c r="F17" s="17">
        <f t="shared" si="6"/>
        <v>0.55634098781729036</v>
      </c>
      <c r="G17" s="17">
        <f t="shared" si="6"/>
        <v>0.68880312777378816</v>
      </c>
      <c r="H17" s="17">
        <f t="shared" si="6"/>
        <v>0.82126526773028596</v>
      </c>
      <c r="I17" s="17">
        <f t="shared" si="6"/>
        <v>0.95372740768678366</v>
      </c>
      <c r="J17" s="17">
        <f t="shared" si="6"/>
        <v>1.0861895476432812</v>
      </c>
      <c r="K17" s="17">
        <f t="shared" si="6"/>
        <v>1.218651687599779</v>
      </c>
      <c r="L17" s="17">
        <f t="shared" si="6"/>
        <v>1.3511138275562768</v>
      </c>
      <c r="M17" s="17">
        <f t="shared" si="6"/>
        <v>1.4835759675127742</v>
      </c>
      <c r="N17" s="17">
        <f t="shared" si="6"/>
        <v>1.6160381074692722</v>
      </c>
      <c r="O17" s="17">
        <f t="shared" si="6"/>
        <v>1.7485002474257698</v>
      </c>
      <c r="P17" s="17">
        <f t="shared" si="6"/>
        <v>1.8809623873822674</v>
      </c>
      <c r="Q17" s="17">
        <f t="shared" si="6"/>
        <v>2.0134245273387656</v>
      </c>
      <c r="R17" s="17">
        <f t="shared" si="2"/>
        <v>2.1458866672952635</v>
      </c>
      <c r="S17" s="17">
        <f t="shared" si="2"/>
        <v>2.2783488072517604</v>
      </c>
      <c r="T17" s="17">
        <f t="shared" si="2"/>
        <v>2.4108109472082586</v>
      </c>
      <c r="U17" s="17">
        <f t="shared" si="2"/>
        <v>2.5432730871647564</v>
      </c>
      <c r="V17" s="17">
        <f t="shared" si="2"/>
        <v>2.6757352271212542</v>
      </c>
      <c r="W17" s="17">
        <f t="shared" si="2"/>
        <v>2.8081973670777516</v>
      </c>
      <c r="X17" s="17">
        <f t="shared" si="2"/>
        <v>2.9406595070342494</v>
      </c>
      <c r="Y17" s="17">
        <f t="shared" si="2"/>
        <v>3.0731216469907472</v>
      </c>
      <c r="Z17" s="17">
        <f t="shared" si="2"/>
        <v>3.205583786947245</v>
      </c>
      <c r="AA17" s="17">
        <f t="shared" si="2"/>
        <v>3.3380459269037424</v>
      </c>
      <c r="AB17" s="17">
        <f t="shared" si="3"/>
        <v>3.4705080668602402</v>
      </c>
      <c r="AC17" s="17">
        <f t="shared" si="3"/>
        <v>3.6029702068167375</v>
      </c>
      <c r="AD17" s="17">
        <f t="shared" si="3"/>
        <v>3.7354323467732358</v>
      </c>
      <c r="AE17" s="17">
        <f t="shared" si="3"/>
        <v>3.8678944867297336</v>
      </c>
      <c r="AF17" s="17">
        <f t="shared" si="3"/>
        <v>4.0003566266862309</v>
      </c>
      <c r="AG17" s="17">
        <f t="shared" si="3"/>
        <v>4.1328187666427292</v>
      </c>
      <c r="AH17" s="17">
        <f t="shared" si="3"/>
        <v>4.2652809065992265</v>
      </c>
      <c r="AI17" s="17">
        <f t="shared" si="3"/>
        <v>4.3977430465557239</v>
      </c>
      <c r="AJ17" s="17">
        <f t="shared" si="3"/>
        <v>4.5302051865122221</v>
      </c>
      <c r="AK17" s="17">
        <f t="shared" si="3"/>
        <v>4.6626673264687204</v>
      </c>
      <c r="AL17" s="17">
        <f t="shared" si="4"/>
        <v>4.7951294664252169</v>
      </c>
      <c r="AM17" s="17">
        <f t="shared" si="4"/>
        <v>4.9275916063817151</v>
      </c>
      <c r="AN17" s="17">
        <f t="shared" si="4"/>
        <v>5.0600537463382134</v>
      </c>
      <c r="AO17" s="17">
        <f t="shared" si="4"/>
        <v>5.1925158862947107</v>
      </c>
      <c r="AP17" s="17">
        <f t="shared" si="4"/>
        <v>5.3249780262512081</v>
      </c>
      <c r="AQ17" s="17">
        <f t="shared" si="4"/>
        <v>5.4574401662077063</v>
      </c>
      <c r="AR17" s="17">
        <f t="shared" si="4"/>
        <v>5.5899023061642037</v>
      </c>
      <c r="AS17" s="17">
        <f t="shared" si="4"/>
        <v>5.7223644461207019</v>
      </c>
      <c r="AT17" s="17">
        <f t="shared" si="4"/>
        <v>5.8548265860771993</v>
      </c>
      <c r="AU17" s="17">
        <f t="shared" si="4"/>
        <v>5.9872887260336967</v>
      </c>
      <c r="AV17" s="17">
        <f t="shared" si="4"/>
        <v>6.1197508659901949</v>
      </c>
      <c r="AW17" s="17">
        <f t="shared" si="4"/>
        <v>6.2522130059466923</v>
      </c>
      <c r="AX17" s="17">
        <f t="shared" si="5"/>
        <v>6.3846751459031896</v>
      </c>
      <c r="AY17" s="17">
        <f t="shared" si="5"/>
        <v>6.5171372858596879</v>
      </c>
      <c r="AZ17" s="17">
        <f t="shared" si="5"/>
        <v>6.6495994258161852</v>
      </c>
      <c r="BA17" s="17">
        <f t="shared" si="5"/>
        <v>6.7820615657726835</v>
      </c>
      <c r="BB17" s="17">
        <f t="shared" si="5"/>
        <v>6.9145237057291817</v>
      </c>
      <c r="BC17" s="17">
        <f t="shared" si="5"/>
        <v>7.0469858456856782</v>
      </c>
      <c r="BD17" s="17">
        <f t="shared" si="5"/>
        <v>7.1794479856421756</v>
      </c>
      <c r="BE17" s="17">
        <f t="shared" si="5"/>
        <v>7.3119101255986747</v>
      </c>
      <c r="BF17" s="17">
        <f t="shared" si="5"/>
        <v>7.4443722655551712</v>
      </c>
      <c r="BG17" s="17">
        <f t="shared" si="5"/>
        <v>7.5768344055116694</v>
      </c>
      <c r="BH17" s="17">
        <f t="shared" si="5"/>
        <v>7.7092965454681677</v>
      </c>
      <c r="BI17" s="17">
        <f t="shared" si="5"/>
        <v>7.8417586854246659</v>
      </c>
      <c r="BJ17" s="17">
        <f t="shared" si="5"/>
        <v>7.9742208253811624</v>
      </c>
    </row>
    <row r="18" spans="1:62" ht="18.75">
      <c r="A18" s="2">
        <v>4</v>
      </c>
      <c r="B18" s="17">
        <f t="shared" si="0"/>
        <v>2.6301250448515494E-2</v>
      </c>
      <c r="C18" s="17">
        <f t="shared" si="6"/>
        <v>0.15780750269109298</v>
      </c>
      <c r="D18" s="17">
        <f t="shared" si="6"/>
        <v>0.28931375493367045</v>
      </c>
      <c r="E18" s="17">
        <f t="shared" si="6"/>
        <v>0.4208200071762479</v>
      </c>
      <c r="F18" s="17">
        <f t="shared" si="6"/>
        <v>0.55232625941882529</v>
      </c>
      <c r="G18" s="17">
        <f t="shared" si="6"/>
        <v>0.68383251166140291</v>
      </c>
      <c r="H18" s="17">
        <f t="shared" si="6"/>
        <v>0.81533876390398041</v>
      </c>
      <c r="I18" s="17">
        <f t="shared" si="6"/>
        <v>0.94684501614655792</v>
      </c>
      <c r="J18" s="17">
        <f t="shared" si="6"/>
        <v>1.0783512683891352</v>
      </c>
      <c r="K18" s="17">
        <f t="shared" si="6"/>
        <v>1.209857520631713</v>
      </c>
      <c r="L18" s="17">
        <f t="shared" si="6"/>
        <v>1.3413637728742904</v>
      </c>
      <c r="M18" s="17">
        <f t="shared" si="6"/>
        <v>1.4728700251168678</v>
      </c>
      <c r="N18" s="17">
        <f t="shared" si="6"/>
        <v>1.6043762773594454</v>
      </c>
      <c r="O18" s="17">
        <f t="shared" si="6"/>
        <v>1.7358825296020228</v>
      </c>
      <c r="P18" s="17">
        <f t="shared" si="6"/>
        <v>1.8673887818446</v>
      </c>
      <c r="Q18" s="17">
        <f t="shared" si="6"/>
        <v>1.9988950340871778</v>
      </c>
      <c r="R18" s="17">
        <f t="shared" si="2"/>
        <v>2.1304012863297555</v>
      </c>
      <c r="S18" s="17">
        <f t="shared" si="2"/>
        <v>2.2619075385723324</v>
      </c>
      <c r="T18" s="17">
        <f t="shared" si="2"/>
        <v>2.3934137908149102</v>
      </c>
      <c r="U18" s="17">
        <f t="shared" si="2"/>
        <v>2.5249200430574876</v>
      </c>
      <c r="V18" s="17">
        <f t="shared" si="2"/>
        <v>2.6564262953000655</v>
      </c>
      <c r="W18" s="17">
        <f t="shared" si="2"/>
        <v>2.7879325475426424</v>
      </c>
      <c r="X18" s="17">
        <f t="shared" si="2"/>
        <v>2.9194387997852203</v>
      </c>
      <c r="Y18" s="17">
        <f t="shared" si="2"/>
        <v>3.0509450520277976</v>
      </c>
      <c r="Z18" s="17">
        <f t="shared" si="2"/>
        <v>3.1824513042703755</v>
      </c>
      <c r="AA18" s="17">
        <f t="shared" si="2"/>
        <v>3.3139575565129524</v>
      </c>
      <c r="AB18" s="17">
        <f t="shared" si="3"/>
        <v>3.4454638087555298</v>
      </c>
      <c r="AC18" s="17">
        <f t="shared" si="3"/>
        <v>3.5769700609981072</v>
      </c>
      <c r="AD18" s="17">
        <f t="shared" si="3"/>
        <v>3.7084763132406851</v>
      </c>
      <c r="AE18" s="17">
        <f t="shared" si="3"/>
        <v>3.8399825654832624</v>
      </c>
      <c r="AF18" s="17">
        <f t="shared" si="3"/>
        <v>3.9714888177258398</v>
      </c>
      <c r="AG18" s="17">
        <f t="shared" si="3"/>
        <v>4.1029950699684177</v>
      </c>
      <c r="AH18" s="17">
        <f t="shared" si="3"/>
        <v>4.2345013222109955</v>
      </c>
      <c r="AI18" s="17">
        <f t="shared" si="3"/>
        <v>4.3660075744535725</v>
      </c>
      <c r="AJ18" s="17">
        <f t="shared" si="3"/>
        <v>4.4975138266961503</v>
      </c>
      <c r="AK18" s="17">
        <f t="shared" si="3"/>
        <v>4.6290200789387272</v>
      </c>
      <c r="AL18" s="17">
        <f t="shared" si="4"/>
        <v>4.7605263311813042</v>
      </c>
      <c r="AM18" s="17">
        <f t="shared" si="4"/>
        <v>4.892032583423882</v>
      </c>
      <c r="AN18" s="17">
        <f t="shared" si="4"/>
        <v>5.0235388356664599</v>
      </c>
      <c r="AO18" s="17">
        <f t="shared" si="4"/>
        <v>5.1550450879090377</v>
      </c>
      <c r="AP18" s="17">
        <f t="shared" si="4"/>
        <v>5.2865513401516147</v>
      </c>
      <c r="AQ18" s="17">
        <f t="shared" si="4"/>
        <v>5.4180575923941925</v>
      </c>
      <c r="AR18" s="17">
        <f t="shared" si="4"/>
        <v>5.5495638446367703</v>
      </c>
      <c r="AS18" s="17">
        <f t="shared" si="4"/>
        <v>5.6810700968793464</v>
      </c>
      <c r="AT18" s="17">
        <f t="shared" si="4"/>
        <v>5.8125763491219242</v>
      </c>
      <c r="AU18" s="17">
        <f t="shared" si="4"/>
        <v>5.9440826013645021</v>
      </c>
      <c r="AV18" s="17">
        <f t="shared" si="4"/>
        <v>6.0755888536070799</v>
      </c>
      <c r="AW18" s="17">
        <f t="shared" si="4"/>
        <v>6.2070951058496568</v>
      </c>
      <c r="AX18" s="17">
        <f t="shared" si="5"/>
        <v>6.3386013580922347</v>
      </c>
      <c r="AY18" s="17">
        <f t="shared" si="5"/>
        <v>6.4701076103348125</v>
      </c>
      <c r="AZ18" s="17">
        <f t="shared" si="5"/>
        <v>6.6016138625773904</v>
      </c>
      <c r="BA18" s="17">
        <f t="shared" si="5"/>
        <v>6.7331201148199664</v>
      </c>
      <c r="BB18" s="17">
        <f t="shared" si="5"/>
        <v>6.8646263670625451</v>
      </c>
      <c r="BC18" s="17">
        <f t="shared" si="5"/>
        <v>6.9961326193051221</v>
      </c>
      <c r="BD18" s="17">
        <f t="shared" si="5"/>
        <v>7.1276388715476982</v>
      </c>
      <c r="BE18" s="17">
        <f t="shared" si="5"/>
        <v>7.2591451237902769</v>
      </c>
      <c r="BF18" s="17">
        <f t="shared" si="5"/>
        <v>7.3906513760328547</v>
      </c>
      <c r="BG18" s="17">
        <f t="shared" si="5"/>
        <v>7.5221576282754326</v>
      </c>
      <c r="BH18" s="17">
        <f t="shared" si="5"/>
        <v>7.6536638805180095</v>
      </c>
      <c r="BI18" s="17">
        <f t="shared" si="5"/>
        <v>7.7851701327605873</v>
      </c>
      <c r="BJ18" s="17">
        <f t="shared" si="5"/>
        <v>7.9166763850031643</v>
      </c>
    </row>
    <row r="19" spans="1:62" ht="18.75">
      <c r="A19" s="2">
        <v>6</v>
      </c>
      <c r="B19" s="17">
        <f t="shared" si="0"/>
        <v>2.6112812329593657E-2</v>
      </c>
      <c r="C19" s="17">
        <f t="shared" si="6"/>
        <v>0.15667687397756194</v>
      </c>
      <c r="D19" s="17">
        <f t="shared" si="6"/>
        <v>0.28724093562553021</v>
      </c>
      <c r="E19" s="17">
        <f t="shared" si="6"/>
        <v>0.41780499727349851</v>
      </c>
      <c r="F19" s="17">
        <f t="shared" si="6"/>
        <v>0.5483690589214667</v>
      </c>
      <c r="G19" s="17">
        <f t="shared" si="6"/>
        <v>0.67893312056943511</v>
      </c>
      <c r="H19" s="17">
        <f t="shared" si="6"/>
        <v>0.80949718221740341</v>
      </c>
      <c r="I19" s="17">
        <f t="shared" si="6"/>
        <v>0.94006124386537171</v>
      </c>
      <c r="J19" s="17">
        <f t="shared" si="6"/>
        <v>1.0706253055133399</v>
      </c>
      <c r="K19" s="17">
        <f t="shared" si="6"/>
        <v>1.2011893671613083</v>
      </c>
      <c r="L19" s="17">
        <f t="shared" si="6"/>
        <v>1.3317534288092767</v>
      </c>
      <c r="M19" s="17">
        <f t="shared" si="6"/>
        <v>1.4623174904572447</v>
      </c>
      <c r="N19" s="17">
        <f t="shared" si="6"/>
        <v>1.5928815521052131</v>
      </c>
      <c r="O19" s="17">
        <f t="shared" si="6"/>
        <v>1.7234456137531813</v>
      </c>
      <c r="P19" s="17">
        <f t="shared" si="6"/>
        <v>1.8540096754011495</v>
      </c>
      <c r="Q19" s="17">
        <f t="shared" si="6"/>
        <v>1.9845737370491179</v>
      </c>
      <c r="R19" s="17">
        <f t="shared" si="2"/>
        <v>2.1151377986970861</v>
      </c>
      <c r="S19" s="17">
        <f t="shared" si="2"/>
        <v>2.2457018603450543</v>
      </c>
      <c r="T19" s="17">
        <f t="shared" si="2"/>
        <v>2.3762659219930229</v>
      </c>
      <c r="U19" s="17">
        <f t="shared" si="2"/>
        <v>2.5068299836409911</v>
      </c>
      <c r="V19" s="17">
        <f t="shared" si="2"/>
        <v>2.6373940452889593</v>
      </c>
      <c r="W19" s="17">
        <f t="shared" si="2"/>
        <v>2.7679581069369275</v>
      </c>
      <c r="X19" s="17">
        <f t="shared" si="2"/>
        <v>2.8985221685848956</v>
      </c>
      <c r="Y19" s="17">
        <f t="shared" si="2"/>
        <v>3.0290862302328643</v>
      </c>
      <c r="Z19" s="17">
        <f t="shared" si="2"/>
        <v>3.1596502918808325</v>
      </c>
      <c r="AA19" s="17">
        <f t="shared" si="2"/>
        <v>3.2902143535288007</v>
      </c>
      <c r="AB19" s="17">
        <f t="shared" si="3"/>
        <v>3.4207784151767684</v>
      </c>
      <c r="AC19" s="17">
        <f t="shared" si="3"/>
        <v>3.5513424768247366</v>
      </c>
      <c r="AD19" s="17">
        <f t="shared" si="3"/>
        <v>3.6819065384727057</v>
      </c>
      <c r="AE19" s="17">
        <f t="shared" si="3"/>
        <v>3.8124706001206738</v>
      </c>
      <c r="AF19" s="17">
        <f t="shared" si="3"/>
        <v>3.943034661768642</v>
      </c>
      <c r="AG19" s="17">
        <f t="shared" si="3"/>
        <v>4.0735987234166107</v>
      </c>
      <c r="AH19" s="17">
        <f t="shared" si="3"/>
        <v>4.2041627850645789</v>
      </c>
      <c r="AI19" s="17">
        <f t="shared" si="3"/>
        <v>4.334726846712547</v>
      </c>
      <c r="AJ19" s="17">
        <f t="shared" si="3"/>
        <v>4.4652909083605152</v>
      </c>
      <c r="AK19" s="17">
        <f t="shared" si="3"/>
        <v>4.5958549700084834</v>
      </c>
      <c r="AL19" s="17">
        <f t="shared" si="4"/>
        <v>4.7264190316564525</v>
      </c>
      <c r="AM19" s="17">
        <f t="shared" si="4"/>
        <v>4.8569830933044207</v>
      </c>
      <c r="AN19" s="17">
        <f t="shared" si="4"/>
        <v>4.9875471549523889</v>
      </c>
      <c r="AO19" s="17">
        <f t="shared" si="4"/>
        <v>5.1181112166003571</v>
      </c>
      <c r="AP19" s="17">
        <f t="shared" si="4"/>
        <v>5.2486752782483252</v>
      </c>
      <c r="AQ19" s="17">
        <f t="shared" si="4"/>
        <v>5.3792393398962934</v>
      </c>
      <c r="AR19" s="17">
        <f t="shared" si="4"/>
        <v>5.5098034015442616</v>
      </c>
      <c r="AS19" s="17">
        <f t="shared" si="4"/>
        <v>5.6403674631922298</v>
      </c>
      <c r="AT19" s="17">
        <f t="shared" si="4"/>
        <v>5.770931524840198</v>
      </c>
      <c r="AU19" s="17">
        <f t="shared" si="4"/>
        <v>5.9014955864881662</v>
      </c>
      <c r="AV19" s="17">
        <f t="shared" si="4"/>
        <v>6.0320596481361344</v>
      </c>
      <c r="AW19" s="17">
        <f t="shared" si="4"/>
        <v>6.1626237097841035</v>
      </c>
      <c r="AX19" s="17">
        <f t="shared" si="5"/>
        <v>6.2931877714320716</v>
      </c>
      <c r="AY19" s="17">
        <f t="shared" si="5"/>
        <v>6.4237518330800398</v>
      </c>
      <c r="AZ19" s="17">
        <f t="shared" si="5"/>
        <v>6.554315894728008</v>
      </c>
      <c r="BA19" s="17">
        <f t="shared" si="5"/>
        <v>6.6848799563759762</v>
      </c>
      <c r="BB19" s="17">
        <f t="shared" si="5"/>
        <v>6.8154440180239453</v>
      </c>
      <c r="BC19" s="17">
        <f t="shared" si="5"/>
        <v>6.9460080796719126</v>
      </c>
      <c r="BD19" s="17">
        <f t="shared" si="5"/>
        <v>7.0765721413198799</v>
      </c>
      <c r="BE19" s="17">
        <f t="shared" si="5"/>
        <v>7.207136202967849</v>
      </c>
      <c r="BF19" s="17">
        <f t="shared" si="5"/>
        <v>7.3377002646158171</v>
      </c>
      <c r="BG19" s="17">
        <f t="shared" si="5"/>
        <v>7.4682643262637853</v>
      </c>
      <c r="BH19" s="17">
        <f t="shared" si="5"/>
        <v>7.5988283879117544</v>
      </c>
      <c r="BI19" s="17">
        <f t="shared" si="5"/>
        <v>7.7293924495597235</v>
      </c>
      <c r="BJ19" s="17">
        <f t="shared" si="5"/>
        <v>7.8599565112076908</v>
      </c>
    </row>
    <row r="20" spans="1:62" ht="18.75">
      <c r="A20" s="2">
        <v>8</v>
      </c>
      <c r="B20" s="17">
        <f t="shared" si="0"/>
        <v>2.5927055172705209E-2</v>
      </c>
      <c r="C20" s="17">
        <f t="shared" si="6"/>
        <v>0.15556233103623127</v>
      </c>
      <c r="D20" s="17">
        <f t="shared" si="6"/>
        <v>0.28519760689975726</v>
      </c>
      <c r="E20" s="17">
        <f t="shared" si="6"/>
        <v>0.41483288276328334</v>
      </c>
      <c r="F20" s="17">
        <f t="shared" si="6"/>
        <v>0.5444681586268092</v>
      </c>
      <c r="G20" s="17">
        <f t="shared" si="6"/>
        <v>0.67410343449033538</v>
      </c>
      <c r="H20" s="17">
        <f t="shared" si="6"/>
        <v>0.80373871035386146</v>
      </c>
      <c r="I20" s="17">
        <f t="shared" si="6"/>
        <v>0.93337398621738743</v>
      </c>
      <c r="J20" s="17">
        <f t="shared" si="6"/>
        <v>1.0630092620809135</v>
      </c>
      <c r="K20" s="17">
        <f t="shared" si="6"/>
        <v>1.1926445379444397</v>
      </c>
      <c r="L20" s="17">
        <f t="shared" si="6"/>
        <v>1.3222798138079657</v>
      </c>
      <c r="M20" s="17">
        <f t="shared" si="6"/>
        <v>1.4519150896714916</v>
      </c>
      <c r="N20" s="17">
        <f t="shared" si="6"/>
        <v>1.5815503655350176</v>
      </c>
      <c r="O20" s="17">
        <f t="shared" si="6"/>
        <v>1.7111856413985436</v>
      </c>
      <c r="P20" s="17">
        <f t="shared" si="6"/>
        <v>1.8408209172620695</v>
      </c>
      <c r="Q20" s="17">
        <f t="shared" si="6"/>
        <v>1.9704561931255959</v>
      </c>
      <c r="R20" s="17">
        <f t="shared" ref="R20:AA25" si="7">($B$1/1000)*((R$5+1)/1.01325)*(273.15/(273.15+$A20))*(288.15/(288.15)) * ($B$2 / 0.75)</f>
        <v>2.1000914689891221</v>
      </c>
      <c r="S20" s="17">
        <f t="shared" si="7"/>
        <v>2.2297267448526474</v>
      </c>
      <c r="T20" s="17">
        <f t="shared" si="7"/>
        <v>2.3593620207161741</v>
      </c>
      <c r="U20" s="17">
        <f t="shared" si="7"/>
        <v>2.4889972965797003</v>
      </c>
      <c r="V20" s="17">
        <f t="shared" si="7"/>
        <v>2.6186325724432264</v>
      </c>
      <c r="W20" s="17">
        <f t="shared" si="7"/>
        <v>2.7482678483067517</v>
      </c>
      <c r="X20" s="17">
        <f t="shared" si="7"/>
        <v>2.8779031241702779</v>
      </c>
      <c r="Y20" s="17">
        <f t="shared" si="7"/>
        <v>3.0075384000338041</v>
      </c>
      <c r="Z20" s="17">
        <f t="shared" si="7"/>
        <v>3.1371736758973299</v>
      </c>
      <c r="AA20" s="17">
        <f t="shared" si="7"/>
        <v>3.2668089517608561</v>
      </c>
      <c r="AB20" s="17">
        <f t="shared" ref="AB20:AK25" si="8">($B$1/1000)*((AB$5+1)/1.01325)*(273.15/(273.15+$A20))*(288.15/(288.15)) * ($B$2 / 0.75)</f>
        <v>3.3964442276243818</v>
      </c>
      <c r="AC20" s="17">
        <f t="shared" si="8"/>
        <v>3.526079503487908</v>
      </c>
      <c r="AD20" s="17">
        <f t="shared" si="8"/>
        <v>3.6557147793514342</v>
      </c>
      <c r="AE20" s="17">
        <f t="shared" si="8"/>
        <v>3.7853500552149604</v>
      </c>
      <c r="AF20" s="17">
        <f t="shared" si="8"/>
        <v>3.9149853310784866</v>
      </c>
      <c r="AG20" s="17">
        <f t="shared" si="8"/>
        <v>4.0446206069420123</v>
      </c>
      <c r="AH20" s="17">
        <f t="shared" si="8"/>
        <v>4.1742558828055385</v>
      </c>
      <c r="AI20" s="17">
        <f t="shared" si="8"/>
        <v>4.3038911586690647</v>
      </c>
      <c r="AJ20" s="17">
        <f t="shared" si="8"/>
        <v>4.4335264345325909</v>
      </c>
      <c r="AK20" s="17">
        <f t="shared" si="8"/>
        <v>4.5631617103961162</v>
      </c>
      <c r="AL20" s="17">
        <f t="shared" ref="AL20:AW25" si="9">($B$1/1000)*((AL$5+1)/1.01325)*(273.15/(273.15+$A20))*(288.15/(288.15)) * ($B$2 / 0.75)</f>
        <v>4.6927969862596433</v>
      </c>
      <c r="AM20" s="17">
        <f t="shared" si="9"/>
        <v>4.8224322621231686</v>
      </c>
      <c r="AN20" s="17">
        <f t="shared" si="9"/>
        <v>4.9520675379866947</v>
      </c>
      <c r="AO20" s="17">
        <f t="shared" si="9"/>
        <v>5.0817028138502209</v>
      </c>
      <c r="AP20" s="17">
        <f t="shared" si="9"/>
        <v>5.2113380897137462</v>
      </c>
      <c r="AQ20" s="17">
        <f t="shared" si="9"/>
        <v>5.3409733655772724</v>
      </c>
      <c r="AR20" s="17">
        <f t="shared" si="9"/>
        <v>5.4706086414407986</v>
      </c>
      <c r="AS20" s="17">
        <f t="shared" si="9"/>
        <v>5.6002439173043248</v>
      </c>
      <c r="AT20" s="17">
        <f t="shared" si="9"/>
        <v>5.729879193167851</v>
      </c>
      <c r="AU20" s="17">
        <f t="shared" si="9"/>
        <v>5.8595144690313772</v>
      </c>
      <c r="AV20" s="17">
        <f t="shared" si="9"/>
        <v>5.9891497448949025</v>
      </c>
      <c r="AW20" s="17">
        <f t="shared" si="9"/>
        <v>6.1187850207584296</v>
      </c>
      <c r="AX20" s="17">
        <f t="shared" si="5"/>
        <v>6.2484202966219549</v>
      </c>
      <c r="AY20" s="17">
        <f t="shared" si="5"/>
        <v>6.3780555724854811</v>
      </c>
      <c r="AZ20" s="17">
        <f t="shared" si="5"/>
        <v>6.5076908483490072</v>
      </c>
      <c r="BA20" s="17">
        <f t="shared" si="5"/>
        <v>6.6373261242125334</v>
      </c>
      <c r="BB20" s="17">
        <f t="shared" si="5"/>
        <v>6.7669614000760596</v>
      </c>
      <c r="BC20" s="17">
        <f t="shared" si="5"/>
        <v>6.8965966759395849</v>
      </c>
      <c r="BD20" s="17">
        <f t="shared" si="5"/>
        <v>7.0262319518031102</v>
      </c>
      <c r="BE20" s="17">
        <f t="shared" si="5"/>
        <v>7.1558672276666373</v>
      </c>
      <c r="BF20" s="17">
        <f t="shared" si="5"/>
        <v>7.2855025035301635</v>
      </c>
      <c r="BG20" s="17">
        <f t="shared" si="5"/>
        <v>7.4151377793936888</v>
      </c>
      <c r="BH20" s="17">
        <f t="shared" si="5"/>
        <v>7.5447730552572159</v>
      </c>
      <c r="BI20" s="17">
        <f t="shared" si="5"/>
        <v>7.6744083311207421</v>
      </c>
      <c r="BJ20" s="17">
        <f t="shared" si="5"/>
        <v>7.8040436069842674</v>
      </c>
    </row>
    <row r="21" spans="1:62" ht="18.75">
      <c r="A21" s="2">
        <v>10</v>
      </c>
      <c r="B21" s="17">
        <f t="shared" si="0"/>
        <v>2.5743922167777041E-2</v>
      </c>
      <c r="C21" s="17">
        <f t="shared" si="6"/>
        <v>0.15446353300666227</v>
      </c>
      <c r="D21" s="17">
        <f t="shared" si="6"/>
        <v>0.28318314384554749</v>
      </c>
      <c r="E21" s="17">
        <f t="shared" si="6"/>
        <v>0.41190275468443266</v>
      </c>
      <c r="F21" s="17">
        <f t="shared" si="6"/>
        <v>0.54062236552331788</v>
      </c>
      <c r="G21" s="17">
        <f t="shared" si="6"/>
        <v>0.66934197636220316</v>
      </c>
      <c r="H21" s="17">
        <f t="shared" si="6"/>
        <v>0.79806158720108844</v>
      </c>
      <c r="I21" s="17">
        <f t="shared" si="6"/>
        <v>0.92678119803997361</v>
      </c>
      <c r="J21" s="17">
        <f t="shared" si="6"/>
        <v>1.0555008088788587</v>
      </c>
      <c r="K21" s="17">
        <f t="shared" si="6"/>
        <v>1.1842204197177442</v>
      </c>
      <c r="L21" s="17">
        <f t="shared" si="6"/>
        <v>1.3129400305566292</v>
      </c>
      <c r="M21" s="17">
        <f t="shared" si="6"/>
        <v>1.4416596413955143</v>
      </c>
      <c r="N21" s="17">
        <f t="shared" si="6"/>
        <v>1.5703792522343998</v>
      </c>
      <c r="O21" s="17">
        <f t="shared" si="6"/>
        <v>1.6990988630732846</v>
      </c>
      <c r="P21" s="17">
        <f t="shared" si="6"/>
        <v>1.8278184739121699</v>
      </c>
      <c r="Q21" s="17">
        <f t="shared" si="6"/>
        <v>1.9565380847510554</v>
      </c>
      <c r="R21" s="17">
        <f t="shared" si="7"/>
        <v>2.0852576955899407</v>
      </c>
      <c r="S21" s="17">
        <f t="shared" si="7"/>
        <v>2.2139773064288253</v>
      </c>
      <c r="T21" s="17">
        <f t="shared" si="7"/>
        <v>2.3426969172677112</v>
      </c>
      <c r="U21" s="17">
        <f t="shared" si="7"/>
        <v>2.4714165281065963</v>
      </c>
      <c r="V21" s="17">
        <f t="shared" si="7"/>
        <v>2.6001361389454813</v>
      </c>
      <c r="W21" s="17">
        <f t="shared" si="7"/>
        <v>2.7288557497843664</v>
      </c>
      <c r="X21" s="17">
        <f t="shared" si="7"/>
        <v>2.8575753606232519</v>
      </c>
      <c r="Y21" s="17">
        <f t="shared" si="7"/>
        <v>2.986294971462137</v>
      </c>
      <c r="Z21" s="17">
        <f t="shared" si="7"/>
        <v>3.1150145823010225</v>
      </c>
      <c r="AA21" s="17">
        <f t="shared" si="7"/>
        <v>3.2437341931399075</v>
      </c>
      <c r="AB21" s="17">
        <f t="shared" si="8"/>
        <v>3.3724538039787921</v>
      </c>
      <c r="AC21" s="17">
        <f t="shared" si="8"/>
        <v>3.5011734148176772</v>
      </c>
      <c r="AD21" s="17">
        <f t="shared" si="8"/>
        <v>3.6298930256565631</v>
      </c>
      <c r="AE21" s="17">
        <f t="shared" si="8"/>
        <v>3.7586126364954482</v>
      </c>
      <c r="AF21" s="17">
        <f t="shared" si="8"/>
        <v>3.8873322473343337</v>
      </c>
      <c r="AG21" s="17">
        <f t="shared" si="8"/>
        <v>4.0160518581732187</v>
      </c>
      <c r="AH21" s="17">
        <f t="shared" si="8"/>
        <v>4.1447714690121042</v>
      </c>
      <c r="AI21" s="17">
        <f t="shared" si="8"/>
        <v>4.2734910798509889</v>
      </c>
      <c r="AJ21" s="17">
        <f t="shared" si="8"/>
        <v>4.4022106906898744</v>
      </c>
      <c r="AK21" s="17">
        <f t="shared" si="8"/>
        <v>4.5309303015287599</v>
      </c>
      <c r="AL21" s="17">
        <f t="shared" si="9"/>
        <v>4.6596499123676454</v>
      </c>
      <c r="AM21" s="17">
        <f t="shared" si="9"/>
        <v>4.78836952320653</v>
      </c>
      <c r="AN21" s="17">
        <f t="shared" si="9"/>
        <v>4.9170891340454155</v>
      </c>
      <c r="AO21" s="17">
        <f t="shared" si="9"/>
        <v>5.045808744884301</v>
      </c>
      <c r="AP21" s="17">
        <f t="shared" si="9"/>
        <v>5.1745283557231856</v>
      </c>
      <c r="AQ21" s="17">
        <f t="shared" si="9"/>
        <v>5.3032479665620702</v>
      </c>
      <c r="AR21" s="17">
        <f t="shared" si="9"/>
        <v>5.4319675774009557</v>
      </c>
      <c r="AS21" s="17">
        <f t="shared" si="9"/>
        <v>5.5606871882398412</v>
      </c>
      <c r="AT21" s="17">
        <f t="shared" si="9"/>
        <v>5.6894067990787267</v>
      </c>
      <c r="AU21" s="17">
        <f t="shared" si="9"/>
        <v>5.8181264099176113</v>
      </c>
      <c r="AV21" s="17">
        <f t="shared" si="9"/>
        <v>5.9468460207564968</v>
      </c>
      <c r="AW21" s="17">
        <f t="shared" si="9"/>
        <v>6.0755656315953823</v>
      </c>
      <c r="AX21" s="17">
        <f t="shared" si="5"/>
        <v>6.2042852424342678</v>
      </c>
      <c r="AY21" s="17">
        <f t="shared" si="5"/>
        <v>6.3330048532731524</v>
      </c>
      <c r="AZ21" s="17">
        <f t="shared" si="5"/>
        <v>6.4617244641120379</v>
      </c>
      <c r="BA21" s="17">
        <f t="shared" si="5"/>
        <v>6.5904440749509225</v>
      </c>
      <c r="BB21" s="17">
        <f t="shared" si="5"/>
        <v>6.7191636857898089</v>
      </c>
      <c r="BC21" s="17">
        <f t="shared" si="5"/>
        <v>6.8478832966286936</v>
      </c>
      <c r="BD21" s="17">
        <f t="shared" si="5"/>
        <v>6.9766029074675773</v>
      </c>
      <c r="BE21" s="17">
        <f t="shared" si="5"/>
        <v>7.1053225183064637</v>
      </c>
      <c r="BF21" s="17">
        <f t="shared" si="5"/>
        <v>7.2340421291453492</v>
      </c>
      <c r="BG21" s="17">
        <f t="shared" si="5"/>
        <v>7.3627617399842347</v>
      </c>
      <c r="BH21" s="17">
        <f t="shared" si="5"/>
        <v>7.4914813508231193</v>
      </c>
      <c r="BI21" s="17">
        <f t="shared" si="5"/>
        <v>7.6202009616620057</v>
      </c>
      <c r="BJ21" s="17">
        <f t="shared" si="5"/>
        <v>7.7489205725008903</v>
      </c>
    </row>
    <row r="22" spans="1:62" ht="18.75">
      <c r="A22" s="2">
        <v>12</v>
      </c>
      <c r="B22" s="17">
        <f t="shared" si="0"/>
        <v>2.556335809856591E-2</v>
      </c>
      <c r="C22" s="17">
        <f t="shared" si="6"/>
        <v>0.15338014859139545</v>
      </c>
      <c r="D22" s="17">
        <f t="shared" si="6"/>
        <v>0.28119693908422505</v>
      </c>
      <c r="E22" s="17">
        <f t="shared" si="6"/>
        <v>0.40901372957705456</v>
      </c>
      <c r="F22" s="17">
        <f t="shared" si="6"/>
        <v>0.53683052006988408</v>
      </c>
      <c r="G22" s="17">
        <f t="shared" si="6"/>
        <v>0.66464731056271364</v>
      </c>
      <c r="H22" s="17">
        <f t="shared" si="6"/>
        <v>0.79246410105554321</v>
      </c>
      <c r="I22" s="17">
        <f t="shared" si="6"/>
        <v>0.92028089154837278</v>
      </c>
      <c r="J22" s="17">
        <f t="shared" si="6"/>
        <v>1.0480976820412022</v>
      </c>
      <c r="K22" s="17">
        <f t="shared" si="6"/>
        <v>1.1759144725340318</v>
      </c>
      <c r="L22" s="17">
        <f t="shared" si="6"/>
        <v>1.3037312630268616</v>
      </c>
      <c r="M22" s="17">
        <f t="shared" si="6"/>
        <v>1.4315480535196907</v>
      </c>
      <c r="N22" s="17">
        <f t="shared" si="6"/>
        <v>1.5593648440125205</v>
      </c>
      <c r="O22" s="17">
        <f t="shared" si="6"/>
        <v>1.6871816345053499</v>
      </c>
      <c r="P22" s="17">
        <f t="shared" si="6"/>
        <v>1.8149984249981794</v>
      </c>
      <c r="Q22" s="17">
        <f t="shared" si="6"/>
        <v>1.9428152154910092</v>
      </c>
      <c r="R22" s="17">
        <f t="shared" si="7"/>
        <v>2.070632005983839</v>
      </c>
      <c r="S22" s="17">
        <f t="shared" si="7"/>
        <v>2.1984487964766677</v>
      </c>
      <c r="T22" s="17">
        <f t="shared" si="7"/>
        <v>2.3262655869694977</v>
      </c>
      <c r="U22" s="17">
        <f t="shared" si="7"/>
        <v>2.4540823774623273</v>
      </c>
      <c r="V22" s="17">
        <f t="shared" si="7"/>
        <v>2.5818991679551573</v>
      </c>
      <c r="W22" s="17">
        <f t="shared" si="7"/>
        <v>2.7097159584479864</v>
      </c>
      <c r="X22" s="17">
        <f t="shared" si="7"/>
        <v>2.837532748940816</v>
      </c>
      <c r="Y22" s="17">
        <f t="shared" si="7"/>
        <v>2.9653495394336455</v>
      </c>
      <c r="Z22" s="17">
        <f t="shared" si="7"/>
        <v>3.0931663299264751</v>
      </c>
      <c r="AA22" s="17">
        <f t="shared" si="7"/>
        <v>3.2209831204193047</v>
      </c>
      <c r="AB22" s="17">
        <f t="shared" si="8"/>
        <v>3.3487999109121338</v>
      </c>
      <c r="AC22" s="17">
        <f t="shared" si="8"/>
        <v>3.4766167014049634</v>
      </c>
      <c r="AD22" s="17">
        <f t="shared" si="8"/>
        <v>3.6044334918977934</v>
      </c>
      <c r="AE22" s="17">
        <f t="shared" si="8"/>
        <v>3.732250282390623</v>
      </c>
      <c r="AF22" s="17">
        <f t="shared" si="8"/>
        <v>3.8600670728834521</v>
      </c>
      <c r="AG22" s="17">
        <f t="shared" si="8"/>
        <v>3.9878838633762816</v>
      </c>
      <c r="AH22" s="17">
        <f t="shared" si="8"/>
        <v>4.1157006538691121</v>
      </c>
      <c r="AI22" s="17">
        <f t="shared" si="8"/>
        <v>4.2435174443619408</v>
      </c>
      <c r="AJ22" s="17">
        <f t="shared" si="8"/>
        <v>4.3713342348547704</v>
      </c>
      <c r="AK22" s="17">
        <f t="shared" si="8"/>
        <v>4.4991510253476008</v>
      </c>
      <c r="AL22" s="17">
        <f t="shared" si="9"/>
        <v>4.6269678158404295</v>
      </c>
      <c r="AM22" s="17">
        <f t="shared" si="9"/>
        <v>4.7547846063332591</v>
      </c>
      <c r="AN22" s="17">
        <f t="shared" si="9"/>
        <v>4.8826013968260886</v>
      </c>
      <c r="AO22" s="17">
        <f t="shared" si="9"/>
        <v>5.0104181873189182</v>
      </c>
      <c r="AP22" s="17">
        <f t="shared" si="9"/>
        <v>5.1382349778117478</v>
      </c>
      <c r="AQ22" s="17">
        <f t="shared" si="9"/>
        <v>5.2660517683045773</v>
      </c>
      <c r="AR22" s="17">
        <f t="shared" si="9"/>
        <v>5.3938685587974069</v>
      </c>
      <c r="AS22" s="17">
        <f t="shared" si="9"/>
        <v>5.5216853492902365</v>
      </c>
      <c r="AT22" s="17">
        <f t="shared" si="9"/>
        <v>5.649502139783066</v>
      </c>
      <c r="AU22" s="17">
        <f t="shared" si="9"/>
        <v>5.7773189302758956</v>
      </c>
      <c r="AV22" s="17">
        <f t="shared" si="9"/>
        <v>5.9051357207687252</v>
      </c>
      <c r="AW22" s="17">
        <f t="shared" si="9"/>
        <v>6.0329525112615547</v>
      </c>
      <c r="AX22" s="17">
        <f t="shared" si="5"/>
        <v>6.1607693017543843</v>
      </c>
      <c r="AY22" s="17">
        <f t="shared" si="5"/>
        <v>6.2885860922472139</v>
      </c>
      <c r="AZ22" s="17">
        <f t="shared" si="5"/>
        <v>6.4164028827400426</v>
      </c>
      <c r="BA22" s="17">
        <f t="shared" si="5"/>
        <v>6.544219673232873</v>
      </c>
      <c r="BB22" s="17">
        <f t="shared" si="5"/>
        <v>6.6720364637257026</v>
      </c>
      <c r="BC22" s="17">
        <f t="shared" si="5"/>
        <v>6.7998532542185322</v>
      </c>
      <c r="BD22" s="17">
        <f t="shared" si="5"/>
        <v>6.9276700447113608</v>
      </c>
      <c r="BE22" s="17">
        <f t="shared" si="5"/>
        <v>7.0554868352041904</v>
      </c>
      <c r="BF22" s="17">
        <f t="shared" si="5"/>
        <v>7.1833036256970209</v>
      </c>
      <c r="BG22" s="17">
        <f t="shared" si="5"/>
        <v>7.3111204161898495</v>
      </c>
      <c r="BH22" s="17">
        <f t="shared" si="5"/>
        <v>7.43893720668268</v>
      </c>
      <c r="BI22" s="17">
        <f t="shared" si="5"/>
        <v>7.5667539971755104</v>
      </c>
      <c r="BJ22" s="17">
        <f t="shared" si="5"/>
        <v>7.6945707876683382</v>
      </c>
    </row>
    <row r="23" spans="1:62" ht="18.75">
      <c r="A23" s="2">
        <v>14</v>
      </c>
      <c r="B23" s="17">
        <f t="shared" si="0"/>
        <v>2.5385309287153296E-2</v>
      </c>
      <c r="C23" s="17">
        <f t="shared" si="6"/>
        <v>0.15231185572291978</v>
      </c>
      <c r="D23" s="17">
        <f t="shared" si="6"/>
        <v>0.27923840215868623</v>
      </c>
      <c r="E23" s="17">
        <f t="shared" si="6"/>
        <v>0.40616494859445273</v>
      </c>
      <c r="F23" s="17">
        <f t="shared" si="6"/>
        <v>0.53309149503021924</v>
      </c>
      <c r="G23" s="17">
        <f t="shared" si="6"/>
        <v>0.66001804146598575</v>
      </c>
      <c r="H23" s="17">
        <f t="shared" si="6"/>
        <v>0.78694458790175226</v>
      </c>
      <c r="I23" s="17">
        <f t="shared" si="6"/>
        <v>0.91387113433751876</v>
      </c>
      <c r="J23" s="17">
        <f t="shared" si="6"/>
        <v>1.0407976807732853</v>
      </c>
      <c r="K23" s="17">
        <f t="shared" si="6"/>
        <v>1.1677242272090518</v>
      </c>
      <c r="L23" s="17">
        <f t="shared" si="6"/>
        <v>1.2946507736448183</v>
      </c>
      <c r="M23" s="17">
        <f t="shared" si="6"/>
        <v>1.4215773200805846</v>
      </c>
      <c r="N23" s="17">
        <f t="shared" si="6"/>
        <v>1.5485038665163511</v>
      </c>
      <c r="O23" s="17">
        <f t="shared" si="6"/>
        <v>1.6754304129521176</v>
      </c>
      <c r="P23" s="17">
        <f t="shared" si="6"/>
        <v>1.8023569593878841</v>
      </c>
      <c r="Q23" s="17">
        <f t="shared" si="6"/>
        <v>1.9292835058236508</v>
      </c>
      <c r="R23" s="17">
        <f t="shared" si="7"/>
        <v>2.0562100522594173</v>
      </c>
      <c r="S23" s="17">
        <f t="shared" si="7"/>
        <v>2.183136598695183</v>
      </c>
      <c r="T23" s="17">
        <f t="shared" si="7"/>
        <v>2.3100631451309503</v>
      </c>
      <c r="U23" s="17">
        <f t="shared" si="7"/>
        <v>2.4369896915667164</v>
      </c>
      <c r="V23" s="17">
        <f t="shared" si="7"/>
        <v>2.5639162380024834</v>
      </c>
      <c r="W23" s="17">
        <f t="shared" si="7"/>
        <v>2.6908427844382499</v>
      </c>
      <c r="X23" s="17">
        <f t="shared" si="7"/>
        <v>2.8177693308740159</v>
      </c>
      <c r="Y23" s="17">
        <f t="shared" si="7"/>
        <v>2.9446958773097829</v>
      </c>
      <c r="Z23" s="17">
        <f t="shared" si="7"/>
        <v>3.0716224237455489</v>
      </c>
      <c r="AA23" s="17">
        <f t="shared" si="7"/>
        <v>3.1985489701813155</v>
      </c>
      <c r="AB23" s="17">
        <f t="shared" si="8"/>
        <v>3.325475516617082</v>
      </c>
      <c r="AC23" s="17">
        <f t="shared" si="8"/>
        <v>3.452402063052848</v>
      </c>
      <c r="AD23" s="17">
        <f t="shared" si="8"/>
        <v>3.579328609488615</v>
      </c>
      <c r="AE23" s="17">
        <f t="shared" si="8"/>
        <v>3.7062551559243815</v>
      </c>
      <c r="AF23" s="17">
        <f t="shared" si="8"/>
        <v>3.833181702360148</v>
      </c>
      <c r="AG23" s="17">
        <f t="shared" si="8"/>
        <v>3.9601082487959145</v>
      </c>
      <c r="AH23" s="17">
        <f t="shared" si="8"/>
        <v>4.0870347952316806</v>
      </c>
      <c r="AI23" s="17">
        <f t="shared" si="8"/>
        <v>4.2139613416674475</v>
      </c>
      <c r="AJ23" s="17">
        <f t="shared" si="8"/>
        <v>4.3408878881032145</v>
      </c>
      <c r="AK23" s="17">
        <f t="shared" si="8"/>
        <v>4.4678144345389796</v>
      </c>
      <c r="AL23" s="17">
        <f t="shared" si="9"/>
        <v>4.5947409809747466</v>
      </c>
      <c r="AM23" s="17">
        <f t="shared" si="9"/>
        <v>4.7216675274105135</v>
      </c>
      <c r="AN23" s="17">
        <f t="shared" si="9"/>
        <v>4.8485940738462796</v>
      </c>
      <c r="AO23" s="17">
        <f t="shared" si="9"/>
        <v>4.9755206202820466</v>
      </c>
      <c r="AP23" s="17">
        <f t="shared" si="9"/>
        <v>5.1024471667178126</v>
      </c>
      <c r="AQ23" s="17">
        <f t="shared" si="9"/>
        <v>5.2293737131535787</v>
      </c>
      <c r="AR23" s="17">
        <f t="shared" si="9"/>
        <v>5.3563002595893456</v>
      </c>
      <c r="AS23" s="17">
        <f t="shared" si="9"/>
        <v>5.4832268060251126</v>
      </c>
      <c r="AT23" s="17">
        <f t="shared" si="9"/>
        <v>5.6101533524608795</v>
      </c>
      <c r="AU23" s="17">
        <f t="shared" si="9"/>
        <v>5.7370798988966447</v>
      </c>
      <c r="AV23" s="17">
        <f t="shared" si="9"/>
        <v>5.8640064453324117</v>
      </c>
      <c r="AW23" s="17">
        <f t="shared" si="9"/>
        <v>5.9909329917681786</v>
      </c>
      <c r="AX23" s="17">
        <f t="shared" si="5"/>
        <v>6.1178595382039447</v>
      </c>
      <c r="AY23" s="17">
        <f t="shared" si="5"/>
        <v>6.2447860846397116</v>
      </c>
      <c r="AZ23" s="17">
        <f t="shared" si="5"/>
        <v>6.3717126310754777</v>
      </c>
      <c r="BA23" s="17">
        <f t="shared" si="5"/>
        <v>6.4986391775112438</v>
      </c>
      <c r="BB23" s="17">
        <f t="shared" si="5"/>
        <v>6.6255657239470116</v>
      </c>
      <c r="BC23" s="17">
        <f t="shared" si="5"/>
        <v>6.7524922703827777</v>
      </c>
      <c r="BD23" s="17">
        <f t="shared" si="5"/>
        <v>6.8794188168185428</v>
      </c>
      <c r="BE23" s="17">
        <f t="shared" si="5"/>
        <v>7.0063453632543098</v>
      </c>
      <c r="BF23" s="17">
        <f t="shared" si="5"/>
        <v>7.1332719096900767</v>
      </c>
      <c r="BG23" s="17">
        <f t="shared" si="5"/>
        <v>7.2601984561258428</v>
      </c>
      <c r="BH23" s="17">
        <f t="shared" si="5"/>
        <v>7.3871250025616098</v>
      </c>
      <c r="BI23" s="17">
        <f t="shared" si="5"/>
        <v>7.5140515489973776</v>
      </c>
      <c r="BJ23" s="17">
        <f t="shared" si="5"/>
        <v>7.6409780954331419</v>
      </c>
    </row>
    <row r="24" spans="1:62" ht="18.75">
      <c r="A24" s="2">
        <v>16</v>
      </c>
      <c r="B24" s="17">
        <f t="shared" si="0"/>
        <v>2.52097235407438E-2</v>
      </c>
      <c r="C24" s="17">
        <f t="shared" si="6"/>
        <v>0.1512583412444628</v>
      </c>
      <c r="D24" s="17">
        <f t="shared" si="6"/>
        <v>0.27730695894818175</v>
      </c>
      <c r="E24" s="17">
        <f t="shared" si="6"/>
        <v>0.4033555766519008</v>
      </c>
      <c r="F24" s="17">
        <f t="shared" si="6"/>
        <v>0.52940419435561969</v>
      </c>
      <c r="G24" s="17">
        <f t="shared" si="6"/>
        <v>0.65545281205933881</v>
      </c>
      <c r="H24" s="17">
        <f t="shared" si="6"/>
        <v>0.7815014297630577</v>
      </c>
      <c r="I24" s="17">
        <f t="shared" si="6"/>
        <v>0.90755004746677681</v>
      </c>
      <c r="J24" s="17">
        <f t="shared" si="6"/>
        <v>1.0335986651704956</v>
      </c>
      <c r="K24" s="17">
        <f t="shared" si="6"/>
        <v>1.1596472828742148</v>
      </c>
      <c r="L24" s="17">
        <f t="shared" si="6"/>
        <v>1.2856959005779338</v>
      </c>
      <c r="M24" s="17">
        <f t="shared" si="6"/>
        <v>1.4117445182816526</v>
      </c>
      <c r="N24" s="17">
        <f t="shared" si="6"/>
        <v>1.5377931359853718</v>
      </c>
      <c r="O24" s="17">
        <f t="shared" si="6"/>
        <v>1.6638417536890906</v>
      </c>
      <c r="P24" s="17">
        <f t="shared" si="6"/>
        <v>1.7898903713928094</v>
      </c>
      <c r="Q24" s="17">
        <f t="shared" si="6"/>
        <v>1.9159389890965288</v>
      </c>
      <c r="R24" s="17">
        <f t="shared" si="7"/>
        <v>2.0419876068002476</v>
      </c>
      <c r="S24" s="17">
        <f t="shared" si="7"/>
        <v>2.1680362245039664</v>
      </c>
      <c r="T24" s="17">
        <f t="shared" si="7"/>
        <v>2.2940848422076856</v>
      </c>
      <c r="U24" s="17">
        <f t="shared" si="7"/>
        <v>2.4201334599114048</v>
      </c>
      <c r="V24" s="17">
        <f t="shared" si="7"/>
        <v>2.5461820776151236</v>
      </c>
      <c r="W24" s="17">
        <f t="shared" si="7"/>
        <v>2.6722306953188424</v>
      </c>
      <c r="X24" s="17">
        <f t="shared" si="7"/>
        <v>2.7982793130225616</v>
      </c>
      <c r="Y24" s="17">
        <f t="shared" si="7"/>
        <v>2.9243279307262808</v>
      </c>
      <c r="Z24" s="17">
        <f t="shared" si="7"/>
        <v>3.0503765484299996</v>
      </c>
      <c r="AA24" s="17">
        <f t="shared" si="7"/>
        <v>3.1764251661337184</v>
      </c>
      <c r="AB24" s="17">
        <f t="shared" si="8"/>
        <v>3.3024737838374372</v>
      </c>
      <c r="AC24" s="17">
        <f t="shared" si="8"/>
        <v>3.428522401541156</v>
      </c>
      <c r="AD24" s="17">
        <f t="shared" si="8"/>
        <v>3.5545710192448752</v>
      </c>
      <c r="AE24" s="17">
        <f t="shared" si="8"/>
        <v>3.6806196369485948</v>
      </c>
      <c r="AF24" s="17">
        <f t="shared" si="8"/>
        <v>3.8066682546523136</v>
      </c>
      <c r="AG24" s="17">
        <f t="shared" si="8"/>
        <v>3.9327168723560324</v>
      </c>
      <c r="AH24" s="17">
        <f t="shared" si="8"/>
        <v>4.0587654900597512</v>
      </c>
      <c r="AI24" s="17">
        <f t="shared" si="8"/>
        <v>4.1848141077634704</v>
      </c>
      <c r="AJ24" s="17">
        <f t="shared" si="8"/>
        <v>4.3108627254671896</v>
      </c>
      <c r="AK24" s="17">
        <f t="shared" si="8"/>
        <v>4.436911343170908</v>
      </c>
      <c r="AL24" s="17">
        <f t="shared" si="9"/>
        <v>4.5629599608746272</v>
      </c>
      <c r="AM24" s="17">
        <f t="shared" si="9"/>
        <v>4.6890085785783464</v>
      </c>
      <c r="AN24" s="17">
        <f t="shared" si="9"/>
        <v>4.8150571962820656</v>
      </c>
      <c r="AO24" s="17">
        <f t="shared" si="9"/>
        <v>4.9411058139857849</v>
      </c>
      <c r="AP24" s="17">
        <f t="shared" si="9"/>
        <v>5.0671544316895032</v>
      </c>
      <c r="AQ24" s="17">
        <f t="shared" si="9"/>
        <v>5.1932030493932224</v>
      </c>
      <c r="AR24" s="17">
        <f t="shared" si="9"/>
        <v>5.3192516670969416</v>
      </c>
      <c r="AS24" s="17">
        <f t="shared" si="9"/>
        <v>5.44530028480066</v>
      </c>
      <c r="AT24" s="17">
        <f t="shared" si="9"/>
        <v>5.5713489025043792</v>
      </c>
      <c r="AU24" s="17">
        <f t="shared" si="9"/>
        <v>5.6973975202080984</v>
      </c>
      <c r="AV24" s="17">
        <f t="shared" si="9"/>
        <v>5.8234461379118168</v>
      </c>
      <c r="AW24" s="17">
        <f t="shared" si="9"/>
        <v>5.949494755615536</v>
      </c>
      <c r="AX24" s="17">
        <f t="shared" si="5"/>
        <v>6.0755433733192552</v>
      </c>
      <c r="AY24" s="17">
        <f t="shared" si="5"/>
        <v>6.2015919910229735</v>
      </c>
      <c r="AZ24" s="17">
        <f t="shared" si="5"/>
        <v>6.3276406087266936</v>
      </c>
      <c r="BA24" s="17">
        <f t="shared" si="5"/>
        <v>6.4536892264304129</v>
      </c>
      <c r="BB24" s="17">
        <f t="shared" si="5"/>
        <v>6.5797378441341321</v>
      </c>
      <c r="BC24" s="17">
        <f t="shared" si="5"/>
        <v>6.7057864618378504</v>
      </c>
      <c r="BD24" s="17">
        <f t="shared" si="5"/>
        <v>6.8318350795415688</v>
      </c>
      <c r="BE24" s="17">
        <f t="shared" si="5"/>
        <v>6.957883697245288</v>
      </c>
      <c r="BF24" s="17">
        <f t="shared" si="5"/>
        <v>7.0839323149490072</v>
      </c>
      <c r="BG24" s="17">
        <f t="shared" si="5"/>
        <v>7.2099809326527255</v>
      </c>
      <c r="BH24" s="17">
        <f t="shared" si="5"/>
        <v>7.3360295503564448</v>
      </c>
      <c r="BI24" s="17">
        <f t="shared" si="5"/>
        <v>7.4620781680601649</v>
      </c>
      <c r="BJ24" s="17">
        <f t="shared" si="5"/>
        <v>7.5881267857638823</v>
      </c>
    </row>
    <row r="25" spans="1:62" ht="18.75">
      <c r="A25" s="2">
        <v>18</v>
      </c>
      <c r="B25" s="17">
        <f t="shared" si="0"/>
        <v>2.5036550100656259E-2</v>
      </c>
      <c r="C25" s="17">
        <f t="shared" si="6"/>
        <v>0.15021930060393754</v>
      </c>
      <c r="D25" s="17">
        <f t="shared" si="6"/>
        <v>0.27540205110721883</v>
      </c>
      <c r="E25" s="17">
        <f t="shared" si="6"/>
        <v>0.40058480161050014</v>
      </c>
      <c r="F25" s="17">
        <f t="shared" si="6"/>
        <v>0.52576755211378134</v>
      </c>
      <c r="G25" s="17">
        <f t="shared" si="6"/>
        <v>0.65095030261706277</v>
      </c>
      <c r="H25" s="17">
        <f t="shared" si="6"/>
        <v>0.77613305312034409</v>
      </c>
      <c r="I25" s="17">
        <f t="shared" si="6"/>
        <v>0.9013158036236254</v>
      </c>
      <c r="J25" s="17">
        <f t="shared" si="6"/>
        <v>1.0264985541269065</v>
      </c>
      <c r="K25" s="17">
        <f t="shared" si="6"/>
        <v>1.1516813046301879</v>
      </c>
      <c r="L25" s="17">
        <f t="shared" si="6"/>
        <v>1.2768640551334693</v>
      </c>
      <c r="M25" s="17">
        <f t="shared" si="6"/>
        <v>1.4020468056367503</v>
      </c>
      <c r="N25" s="17">
        <f t="shared" si="6"/>
        <v>1.527229556140032</v>
      </c>
      <c r="O25" s="17">
        <f t="shared" si="6"/>
        <v>1.652412306643313</v>
      </c>
      <c r="P25" s="17">
        <f t="shared" si="6"/>
        <v>1.7775950571465942</v>
      </c>
      <c r="Q25" s="17">
        <f t="shared" si="6"/>
        <v>1.9027778076498756</v>
      </c>
      <c r="R25" s="17">
        <f t="shared" si="7"/>
        <v>2.0279605581531568</v>
      </c>
      <c r="S25" s="17">
        <f t="shared" si="7"/>
        <v>2.1531433086564378</v>
      </c>
      <c r="T25" s="17">
        <f t="shared" si="7"/>
        <v>2.2783260591597196</v>
      </c>
      <c r="U25" s="17">
        <f t="shared" si="7"/>
        <v>2.4035088096630006</v>
      </c>
      <c r="V25" s="17">
        <f t="shared" si="7"/>
        <v>2.528691560166282</v>
      </c>
      <c r="W25" s="17">
        <f t="shared" si="7"/>
        <v>2.6538743106695635</v>
      </c>
      <c r="X25" s="17">
        <f t="shared" si="7"/>
        <v>2.7790570611728445</v>
      </c>
      <c r="Y25" s="17">
        <f t="shared" si="7"/>
        <v>2.9042398116761259</v>
      </c>
      <c r="Z25" s="17">
        <f t="shared" si="7"/>
        <v>3.0294225621794073</v>
      </c>
      <c r="AA25" s="17">
        <f t="shared" si="7"/>
        <v>3.1546053126826887</v>
      </c>
      <c r="AB25" s="17">
        <f t="shared" si="8"/>
        <v>3.2797880631859693</v>
      </c>
      <c r="AC25" s="17">
        <f t="shared" si="8"/>
        <v>3.4049708136892507</v>
      </c>
      <c r="AD25" s="17">
        <f t="shared" si="8"/>
        <v>3.5301535641925321</v>
      </c>
      <c r="AE25" s="17">
        <f t="shared" si="8"/>
        <v>3.655336314695814</v>
      </c>
      <c r="AF25" s="17">
        <f t="shared" si="8"/>
        <v>3.780519065199095</v>
      </c>
      <c r="AG25" s="17">
        <f t="shared" si="8"/>
        <v>3.905701815702376</v>
      </c>
      <c r="AH25" s="17">
        <f t="shared" si="8"/>
        <v>4.0308845662056578</v>
      </c>
      <c r="AI25" s="17">
        <f t="shared" si="8"/>
        <v>4.1560673167089384</v>
      </c>
      <c r="AJ25" s="17">
        <f t="shared" si="8"/>
        <v>4.2812500672122198</v>
      </c>
      <c r="AK25" s="17">
        <f t="shared" si="8"/>
        <v>4.4064328177155012</v>
      </c>
      <c r="AL25" s="17">
        <f t="shared" si="9"/>
        <v>4.5316155682187826</v>
      </c>
      <c r="AM25" s="17">
        <f t="shared" si="9"/>
        <v>4.6567983187220641</v>
      </c>
      <c r="AN25" s="17">
        <f t="shared" si="9"/>
        <v>4.7819810692253455</v>
      </c>
      <c r="AO25" s="17">
        <f t="shared" si="9"/>
        <v>4.907163819728626</v>
      </c>
      <c r="AP25" s="17">
        <f t="shared" si="9"/>
        <v>5.0323465702319075</v>
      </c>
      <c r="AQ25" s="17">
        <f t="shared" si="9"/>
        <v>5.1575293207351889</v>
      </c>
      <c r="AR25" s="17">
        <f t="shared" si="9"/>
        <v>5.2827120712384703</v>
      </c>
      <c r="AS25" s="17">
        <f t="shared" si="9"/>
        <v>5.4078948217417517</v>
      </c>
      <c r="AT25" s="17">
        <f t="shared" si="9"/>
        <v>5.5330775722450332</v>
      </c>
      <c r="AU25" s="17">
        <f t="shared" si="9"/>
        <v>5.6582603227483137</v>
      </c>
      <c r="AV25" s="17">
        <f t="shared" si="9"/>
        <v>5.783443073251596</v>
      </c>
      <c r="AW25" s="17">
        <f t="shared" si="9"/>
        <v>5.9086258237548765</v>
      </c>
      <c r="AX25" s="17">
        <f t="shared" si="5"/>
        <v>6.033808574258158</v>
      </c>
      <c r="AY25" s="17">
        <f t="shared" si="5"/>
        <v>6.1589913247614394</v>
      </c>
      <c r="AZ25" s="17">
        <f t="shared" si="5"/>
        <v>6.2841740752647208</v>
      </c>
      <c r="BA25" s="17">
        <f t="shared" si="5"/>
        <v>6.4093568257680023</v>
      </c>
      <c r="BB25" s="17">
        <f t="shared" si="5"/>
        <v>6.5345395762712837</v>
      </c>
      <c r="BC25" s="17">
        <f t="shared" si="5"/>
        <v>6.6597223267745642</v>
      </c>
      <c r="BD25" s="17">
        <f t="shared" si="5"/>
        <v>6.7849050772778448</v>
      </c>
      <c r="BE25" s="17">
        <f t="shared" si="5"/>
        <v>6.9100878277811271</v>
      </c>
      <c r="BF25" s="17">
        <f t="shared" si="5"/>
        <v>7.0352705782844085</v>
      </c>
      <c r="BG25" s="17">
        <f t="shared" si="5"/>
        <v>7.1604533287876899</v>
      </c>
      <c r="BH25" s="17">
        <f t="shared" si="5"/>
        <v>7.2856360792909705</v>
      </c>
      <c r="BI25" s="17">
        <f t="shared" si="5"/>
        <v>7.4108188297942528</v>
      </c>
      <c r="BJ25" s="17">
        <f t="shared" si="5"/>
        <v>7.5360015802975333</v>
      </c>
    </row>
    <row r="26" spans="1:62" ht="18.75">
      <c r="A26" s="2">
        <v>20</v>
      </c>
      <c r="B26" s="17">
        <f t="shared" si="0"/>
        <v>2.4865739593402932E-2</v>
      </c>
      <c r="C26" s="17">
        <f t="shared" ref="C26:L26" si="10">($B$1/1000)*((C$5+1)/1.01325)*(273.15/(273.15+$A26))*(288.15/(288.15)) * ($B$2 / 0.75)</f>
        <v>0.14919443756041759</v>
      </c>
      <c r="D26" s="17">
        <f t="shared" si="10"/>
        <v>0.27352313552743224</v>
      </c>
      <c r="E26" s="17">
        <f t="shared" si="10"/>
        <v>0.39785183349444692</v>
      </c>
      <c r="F26" s="17">
        <f t="shared" si="10"/>
        <v>0.52218053146146159</v>
      </c>
      <c r="G26" s="17">
        <f t="shared" si="10"/>
        <v>0.64650922942847633</v>
      </c>
      <c r="H26" s="17">
        <f t="shared" si="10"/>
        <v>0.77083792739549095</v>
      </c>
      <c r="I26" s="17">
        <f t="shared" si="10"/>
        <v>0.89516662536250569</v>
      </c>
      <c r="J26" s="17">
        <f t="shared" si="10"/>
        <v>1.0194953233295201</v>
      </c>
      <c r="K26" s="17">
        <f t="shared" si="10"/>
        <v>1.1438240212965349</v>
      </c>
      <c r="L26" s="17">
        <f t="shared" si="10"/>
        <v>1.2681527192635498</v>
      </c>
      <c r="M26" s="17">
        <f t="shared" ref="M26:AB41" si="11">($B$1/1000)*((M$5+1)/1.01325)*(273.15/(273.15+$A26))*(288.15/(288.15)) * ($B$2 / 0.75)</f>
        <v>1.3924814172305642</v>
      </c>
      <c r="N26" s="17">
        <f t="shared" si="11"/>
        <v>1.516810115197579</v>
      </c>
      <c r="O26" s="17">
        <f t="shared" si="11"/>
        <v>1.6411388131645934</v>
      </c>
      <c r="P26" s="17">
        <f t="shared" si="11"/>
        <v>1.7654675111316083</v>
      </c>
      <c r="Q26" s="17">
        <f t="shared" si="11"/>
        <v>1.8897962090986229</v>
      </c>
      <c r="R26" s="17">
        <f t="shared" si="11"/>
        <v>2.0141249070656375</v>
      </c>
      <c r="S26" s="17">
        <f t="shared" si="11"/>
        <v>2.1384536050326521</v>
      </c>
      <c r="T26" s="17">
        <f t="shared" si="11"/>
        <v>2.2627823029996668</v>
      </c>
      <c r="U26" s="17">
        <f t="shared" si="11"/>
        <v>2.3871110009666814</v>
      </c>
      <c r="V26" s="17">
        <f t="shared" si="11"/>
        <v>2.5114396989336965</v>
      </c>
      <c r="W26" s="17">
        <f t="shared" si="11"/>
        <v>2.6357683969007111</v>
      </c>
      <c r="X26" s="17">
        <f t="shared" si="11"/>
        <v>2.7600970948677253</v>
      </c>
      <c r="Y26" s="17">
        <f t="shared" si="11"/>
        <v>2.8844257928347403</v>
      </c>
      <c r="Z26" s="17">
        <f t="shared" si="11"/>
        <v>3.0087544908017549</v>
      </c>
      <c r="AA26" s="17">
        <f t="shared" si="11"/>
        <v>3.1330831887687696</v>
      </c>
      <c r="AB26" s="17">
        <f t="shared" si="11"/>
        <v>3.2574118867357837</v>
      </c>
      <c r="AC26" s="17">
        <f t="shared" ref="AC26:AR41" si="12">($B$1/1000)*((AC$5+1)/1.01325)*(273.15/(273.15+$A26))*(288.15/(288.15)) * ($B$2 / 0.75)</f>
        <v>3.3817405847027984</v>
      </c>
      <c r="AD26" s="17">
        <f t="shared" si="12"/>
        <v>3.5060692826698134</v>
      </c>
      <c r="AE26" s="17">
        <f t="shared" si="12"/>
        <v>3.6303979806368285</v>
      </c>
      <c r="AF26" s="17">
        <f t="shared" si="12"/>
        <v>3.7547266786038427</v>
      </c>
      <c r="AG26" s="17">
        <f t="shared" si="12"/>
        <v>3.8790553765708573</v>
      </c>
      <c r="AH26" s="17">
        <f t="shared" si="12"/>
        <v>4.0033840745378724</v>
      </c>
      <c r="AI26" s="17">
        <f t="shared" si="12"/>
        <v>4.1277127725048866</v>
      </c>
      <c r="AJ26" s="17">
        <f t="shared" si="12"/>
        <v>4.2520414704719016</v>
      </c>
      <c r="AK26" s="17">
        <f t="shared" si="12"/>
        <v>4.3763701684389158</v>
      </c>
      <c r="AL26" s="17">
        <f t="shared" si="12"/>
        <v>4.5006988664059309</v>
      </c>
      <c r="AM26" s="17">
        <f t="shared" si="12"/>
        <v>4.625027564372945</v>
      </c>
      <c r="AN26" s="17">
        <f t="shared" si="12"/>
        <v>4.7493562623399601</v>
      </c>
      <c r="AO26" s="17">
        <f t="shared" si="12"/>
        <v>4.8736849603069752</v>
      </c>
      <c r="AP26" s="17">
        <f t="shared" si="12"/>
        <v>4.9980136582739894</v>
      </c>
      <c r="AQ26" s="17">
        <f t="shared" si="12"/>
        <v>5.1223423562410044</v>
      </c>
      <c r="AR26" s="17">
        <f t="shared" si="12"/>
        <v>5.2466710542080195</v>
      </c>
      <c r="AS26" s="17">
        <f t="shared" ref="AS26:AW40" si="13">($B$1/1000)*((AS$5+1)/1.01325)*(273.15/(273.15+$A26))*(288.15/(288.15)) * ($B$2 / 0.75)</f>
        <v>5.3709997521750328</v>
      </c>
      <c r="AT26" s="17">
        <f t="shared" si="13"/>
        <v>5.4953284501420478</v>
      </c>
      <c r="AU26" s="17">
        <f t="shared" si="13"/>
        <v>5.6196571481090629</v>
      </c>
      <c r="AV26" s="17">
        <f t="shared" si="13"/>
        <v>5.7439858460760771</v>
      </c>
      <c r="AW26" s="17">
        <f t="shared" si="13"/>
        <v>5.8683145440430922</v>
      </c>
      <c r="AX26" s="17">
        <f t="shared" si="5"/>
        <v>5.9926432420101072</v>
      </c>
      <c r="AY26" s="17">
        <f t="shared" si="5"/>
        <v>6.1169719399771214</v>
      </c>
      <c r="AZ26" s="17">
        <f t="shared" si="5"/>
        <v>6.2413006379441365</v>
      </c>
      <c r="BA26" s="17">
        <f t="shared" si="5"/>
        <v>6.3656293359111507</v>
      </c>
      <c r="BB26" s="17">
        <f t="shared" si="5"/>
        <v>6.4899580338781657</v>
      </c>
      <c r="BC26" s="17">
        <f t="shared" si="5"/>
        <v>6.6142867318451799</v>
      </c>
      <c r="BD26" s="17">
        <f t="shared" si="5"/>
        <v>6.7386154298121941</v>
      </c>
      <c r="BE26" s="17">
        <f t="shared" si="5"/>
        <v>6.8629441277792091</v>
      </c>
      <c r="BF26" s="17">
        <f t="shared" si="5"/>
        <v>6.9872728257462242</v>
      </c>
      <c r="BG26" s="17">
        <f t="shared" si="5"/>
        <v>7.1116015237132393</v>
      </c>
      <c r="BH26" s="17">
        <f t="shared" si="5"/>
        <v>7.2359302216802535</v>
      </c>
      <c r="BI26" s="17">
        <f t="shared" si="5"/>
        <v>7.3602589196472685</v>
      </c>
      <c r="BJ26" s="17">
        <f t="shared" si="5"/>
        <v>7.4845876176142827</v>
      </c>
    </row>
    <row r="27" spans="1:62" ht="18.75">
      <c r="A27" s="2">
        <v>22</v>
      </c>
      <c r="B27" s="17">
        <f t="shared" ref="B27:Q42" si="14">($B$1/1000)*((B$5+1)/1.01325)*(273.15/(273.15+$A27))*(288.15/(288.15)) * ($B$2 / 0.75)</f>
        <v>2.4697243983757645E-2</v>
      </c>
      <c r="C27" s="17">
        <f t="shared" si="14"/>
        <v>0.14818346390254589</v>
      </c>
      <c r="D27" s="17">
        <f t="shared" si="14"/>
        <v>0.27166968382133411</v>
      </c>
      <c r="E27" s="17">
        <f t="shared" si="14"/>
        <v>0.39515590374012233</v>
      </c>
      <c r="F27" s="17">
        <f t="shared" si="14"/>
        <v>0.5186421236589106</v>
      </c>
      <c r="G27" s="17">
        <f t="shared" si="14"/>
        <v>0.64212834357769888</v>
      </c>
      <c r="H27" s="17">
        <f t="shared" si="14"/>
        <v>0.76561456349648704</v>
      </c>
      <c r="I27" s="17">
        <f t="shared" si="14"/>
        <v>0.88910078341527543</v>
      </c>
      <c r="J27" s="17">
        <f t="shared" si="14"/>
        <v>1.0125870033340634</v>
      </c>
      <c r="K27" s="17">
        <f t="shared" si="14"/>
        <v>1.1360732232528519</v>
      </c>
      <c r="L27" s="17">
        <f t="shared" si="14"/>
        <v>1.2595594431716399</v>
      </c>
      <c r="M27" s="17">
        <f t="shared" si="14"/>
        <v>1.3830456630904282</v>
      </c>
      <c r="N27" s="17">
        <f t="shared" si="14"/>
        <v>1.5065318830092167</v>
      </c>
      <c r="O27" s="17">
        <f t="shared" si="14"/>
        <v>1.6300181029280045</v>
      </c>
      <c r="P27" s="17">
        <f t="shared" si="14"/>
        <v>1.7535043228467928</v>
      </c>
      <c r="Q27" s="17">
        <f t="shared" si="14"/>
        <v>1.8769905427655813</v>
      </c>
      <c r="R27" s="17">
        <f t="shared" si="11"/>
        <v>2.0004767626843694</v>
      </c>
      <c r="S27" s="17">
        <f t="shared" si="11"/>
        <v>2.1239629826031572</v>
      </c>
      <c r="T27" s="17">
        <f t="shared" si="11"/>
        <v>2.2474492025219459</v>
      </c>
      <c r="U27" s="17">
        <f t="shared" si="11"/>
        <v>2.3709354224407342</v>
      </c>
      <c r="V27" s="17">
        <f t="shared" si="11"/>
        <v>2.494421642359522</v>
      </c>
      <c r="W27" s="17">
        <f t="shared" si="11"/>
        <v>2.6179078622783107</v>
      </c>
      <c r="X27" s="17">
        <f t="shared" si="11"/>
        <v>2.741394082197099</v>
      </c>
      <c r="Y27" s="17">
        <f t="shared" si="11"/>
        <v>2.8648803021158873</v>
      </c>
      <c r="Z27" s="17">
        <f t="shared" si="11"/>
        <v>2.9883665220346756</v>
      </c>
      <c r="AA27" s="17">
        <f t="shared" si="11"/>
        <v>3.1118527419534634</v>
      </c>
      <c r="AB27" s="17">
        <f t="shared" si="11"/>
        <v>3.2353389618722512</v>
      </c>
      <c r="AC27" s="17">
        <f t="shared" si="12"/>
        <v>3.3588251817910395</v>
      </c>
      <c r="AD27" s="17">
        <f t="shared" si="12"/>
        <v>3.4823114017098282</v>
      </c>
      <c r="AE27" s="17">
        <f t="shared" si="12"/>
        <v>3.6057976216286165</v>
      </c>
      <c r="AF27" s="17">
        <f t="shared" si="12"/>
        <v>3.7292838415474048</v>
      </c>
      <c r="AG27" s="17">
        <f t="shared" si="12"/>
        <v>3.8527700614661931</v>
      </c>
      <c r="AH27" s="17">
        <f t="shared" si="12"/>
        <v>3.9762562813849813</v>
      </c>
      <c r="AI27" s="17">
        <f t="shared" si="12"/>
        <v>4.09974250130377</v>
      </c>
      <c r="AJ27" s="17">
        <f t="shared" si="12"/>
        <v>4.2232287212225579</v>
      </c>
      <c r="AK27" s="17">
        <f t="shared" si="12"/>
        <v>4.3467149411413457</v>
      </c>
      <c r="AL27" s="17">
        <f t="shared" si="12"/>
        <v>4.4702011610601335</v>
      </c>
      <c r="AM27" s="17">
        <f t="shared" si="12"/>
        <v>4.5936873809789223</v>
      </c>
      <c r="AN27" s="17">
        <f t="shared" si="12"/>
        <v>4.7171736008977101</v>
      </c>
      <c r="AO27" s="17">
        <f t="shared" si="12"/>
        <v>4.8406598208164988</v>
      </c>
      <c r="AP27" s="17">
        <f t="shared" si="12"/>
        <v>4.9641460407352866</v>
      </c>
      <c r="AQ27" s="17">
        <f t="shared" si="12"/>
        <v>5.0876322606540745</v>
      </c>
      <c r="AR27" s="17">
        <f t="shared" si="12"/>
        <v>5.2111184805728641</v>
      </c>
      <c r="AS27" s="17">
        <f t="shared" si="13"/>
        <v>5.3346047004916519</v>
      </c>
      <c r="AT27" s="17">
        <f t="shared" si="13"/>
        <v>5.4580909204104406</v>
      </c>
      <c r="AU27" s="17">
        <f t="shared" si="13"/>
        <v>5.5815771403292285</v>
      </c>
      <c r="AV27" s="17">
        <f t="shared" si="13"/>
        <v>5.7050633602480163</v>
      </c>
      <c r="AW27" s="17">
        <f t="shared" si="13"/>
        <v>5.828549580166805</v>
      </c>
      <c r="AX27" s="17">
        <f t="shared" si="5"/>
        <v>5.9520358000855929</v>
      </c>
      <c r="AY27" s="17">
        <f t="shared" si="5"/>
        <v>6.0755220200043816</v>
      </c>
      <c r="AZ27" s="17">
        <f t="shared" si="5"/>
        <v>6.1990082399231694</v>
      </c>
      <c r="BA27" s="17">
        <f t="shared" si="5"/>
        <v>6.3224944598419572</v>
      </c>
      <c r="BB27" s="17">
        <f t="shared" si="5"/>
        <v>6.4459806797607468</v>
      </c>
      <c r="BC27" s="17">
        <f t="shared" si="5"/>
        <v>6.5694668996795338</v>
      </c>
      <c r="BD27" s="17">
        <f t="shared" si="5"/>
        <v>6.6929531195983216</v>
      </c>
      <c r="BE27" s="17">
        <f t="shared" si="5"/>
        <v>6.8164393395171103</v>
      </c>
      <c r="BF27" s="17">
        <f t="shared" si="5"/>
        <v>6.9399255594358982</v>
      </c>
      <c r="BG27" s="17">
        <f t="shared" si="5"/>
        <v>7.0634117793546869</v>
      </c>
      <c r="BH27" s="17">
        <f t="shared" si="5"/>
        <v>7.1868979992734756</v>
      </c>
      <c r="BI27" s="17">
        <f t="shared" si="5"/>
        <v>7.3103842191922643</v>
      </c>
      <c r="BJ27" s="17">
        <f t="shared" si="5"/>
        <v>7.4338704391110522</v>
      </c>
    </row>
    <row r="28" spans="1:62" ht="18.75">
      <c r="A28" s="2">
        <v>24</v>
      </c>
      <c r="B28" s="17">
        <f t="shared" si="14"/>
        <v>2.453101652971923E-2</v>
      </c>
      <c r="C28" s="17">
        <f t="shared" si="14"/>
        <v>0.1471860991783154</v>
      </c>
      <c r="D28" s="17">
        <f t="shared" si="14"/>
        <v>0.26984118182691152</v>
      </c>
      <c r="E28" s="17">
        <f t="shared" si="14"/>
        <v>0.39249626447550767</v>
      </c>
      <c r="F28" s="17">
        <f t="shared" si="14"/>
        <v>0.51515134712410382</v>
      </c>
      <c r="G28" s="17">
        <f t="shared" si="14"/>
        <v>0.63780642977270008</v>
      </c>
      <c r="H28" s="17">
        <f t="shared" si="14"/>
        <v>0.76046151242129623</v>
      </c>
      <c r="I28" s="17">
        <f t="shared" si="14"/>
        <v>0.88311659506989237</v>
      </c>
      <c r="J28" s="17">
        <f t="shared" si="14"/>
        <v>1.0057716777184884</v>
      </c>
      <c r="K28" s="17">
        <f t="shared" si="14"/>
        <v>1.1284267603670848</v>
      </c>
      <c r="L28" s="17">
        <f t="shared" si="14"/>
        <v>1.2510818430156809</v>
      </c>
      <c r="M28" s="17">
        <f t="shared" si="14"/>
        <v>1.3737369256642769</v>
      </c>
      <c r="N28" s="17">
        <f t="shared" si="14"/>
        <v>1.4963920083128732</v>
      </c>
      <c r="O28" s="17">
        <f t="shared" si="14"/>
        <v>1.6190470909614691</v>
      </c>
      <c r="P28" s="17">
        <f t="shared" si="14"/>
        <v>1.7417021736100655</v>
      </c>
      <c r="Q28" s="17">
        <f t="shared" si="14"/>
        <v>1.8643572562586617</v>
      </c>
      <c r="R28" s="17">
        <f t="shared" si="11"/>
        <v>1.9870123389072578</v>
      </c>
      <c r="S28" s="17">
        <f t="shared" si="11"/>
        <v>2.1096674215558537</v>
      </c>
      <c r="T28" s="17">
        <f t="shared" si="11"/>
        <v>2.2323225042044501</v>
      </c>
      <c r="U28" s="17">
        <f t="shared" si="11"/>
        <v>2.3549775868530465</v>
      </c>
      <c r="V28" s="17">
        <f t="shared" si="11"/>
        <v>2.4776326695016424</v>
      </c>
      <c r="W28" s="17">
        <f t="shared" si="11"/>
        <v>2.6002877521502388</v>
      </c>
      <c r="X28" s="17">
        <f t="shared" si="11"/>
        <v>2.7229428347988347</v>
      </c>
      <c r="Y28" s="17">
        <f t="shared" si="11"/>
        <v>2.8455979174474311</v>
      </c>
      <c r="Z28" s="17">
        <f t="shared" si="11"/>
        <v>2.968253000096027</v>
      </c>
      <c r="AA28" s="17">
        <f t="shared" si="11"/>
        <v>3.0909080827446234</v>
      </c>
      <c r="AB28" s="17">
        <f t="shared" si="11"/>
        <v>3.2135631653932188</v>
      </c>
      <c r="AC28" s="17">
        <f t="shared" si="12"/>
        <v>3.3362182480418152</v>
      </c>
      <c r="AD28" s="17">
        <f t="shared" si="12"/>
        <v>3.4588733306904116</v>
      </c>
      <c r="AE28" s="17">
        <f t="shared" si="12"/>
        <v>3.581528413339008</v>
      </c>
      <c r="AF28" s="17">
        <f t="shared" si="12"/>
        <v>3.7041834959876043</v>
      </c>
      <c r="AG28" s="17">
        <f t="shared" si="12"/>
        <v>3.8268385786362002</v>
      </c>
      <c r="AH28" s="17">
        <f t="shared" si="12"/>
        <v>3.9494936612847962</v>
      </c>
      <c r="AI28" s="17">
        <f t="shared" si="12"/>
        <v>4.0721487439333925</v>
      </c>
      <c r="AJ28" s="17">
        <f t="shared" si="12"/>
        <v>4.194803826581988</v>
      </c>
      <c r="AK28" s="17">
        <f t="shared" si="12"/>
        <v>4.3174589092305844</v>
      </c>
      <c r="AL28" s="17">
        <f t="shared" si="12"/>
        <v>4.4401139918791808</v>
      </c>
      <c r="AM28" s="17">
        <f t="shared" si="12"/>
        <v>4.5627690745277771</v>
      </c>
      <c r="AN28" s="17">
        <f t="shared" si="12"/>
        <v>4.6854241571763735</v>
      </c>
      <c r="AO28" s="17">
        <f t="shared" si="12"/>
        <v>4.8080792398249699</v>
      </c>
      <c r="AP28" s="17">
        <f t="shared" si="12"/>
        <v>4.9307343224735662</v>
      </c>
      <c r="AQ28" s="17">
        <f t="shared" si="12"/>
        <v>5.0533894051221617</v>
      </c>
      <c r="AR28" s="17">
        <f t="shared" si="12"/>
        <v>5.1760444877707572</v>
      </c>
      <c r="AS28" s="17">
        <f t="shared" si="13"/>
        <v>5.2986995704193536</v>
      </c>
      <c r="AT28" s="17">
        <f t="shared" si="13"/>
        <v>5.4213546530679499</v>
      </c>
      <c r="AU28" s="17">
        <f t="shared" si="13"/>
        <v>5.5440097357165463</v>
      </c>
      <c r="AV28" s="17">
        <f t="shared" si="13"/>
        <v>5.6666648183651427</v>
      </c>
      <c r="AW28" s="17">
        <f t="shared" si="13"/>
        <v>5.7893199010137391</v>
      </c>
      <c r="AX28" s="17">
        <f t="shared" si="5"/>
        <v>5.9119749836623354</v>
      </c>
      <c r="AY28" s="17">
        <f t="shared" si="5"/>
        <v>6.0346300663109318</v>
      </c>
      <c r="AZ28" s="17">
        <f t="shared" si="5"/>
        <v>6.1572851489595273</v>
      </c>
      <c r="BA28" s="17">
        <f t="shared" si="5"/>
        <v>6.2799402316081228</v>
      </c>
      <c r="BB28" s="17">
        <f t="shared" si="5"/>
        <v>6.40259531425672</v>
      </c>
      <c r="BC28" s="17">
        <f t="shared" si="5"/>
        <v>6.5252503969053155</v>
      </c>
      <c r="BD28" s="17">
        <f t="shared" si="5"/>
        <v>6.647905479553911</v>
      </c>
      <c r="BE28" s="17">
        <f t="shared" si="5"/>
        <v>6.7705605622025082</v>
      </c>
      <c r="BF28" s="17">
        <f t="shared" si="5"/>
        <v>6.8932156448511046</v>
      </c>
      <c r="BG28" s="17">
        <f t="shared" si="5"/>
        <v>7.015870727499701</v>
      </c>
      <c r="BH28" s="17">
        <f t="shared" si="5"/>
        <v>7.1385258101482965</v>
      </c>
      <c r="BI28" s="17">
        <f t="shared" si="5"/>
        <v>7.2611808927968928</v>
      </c>
      <c r="BJ28" s="17">
        <f t="shared" si="5"/>
        <v>7.3838359754454883</v>
      </c>
    </row>
    <row r="29" spans="1:62" ht="18.75">
      <c r="A29" s="2">
        <v>26</v>
      </c>
      <c r="B29" s="17">
        <f t="shared" si="14"/>
        <v>2.4367011739281529E-2</v>
      </c>
      <c r="C29" s="17">
        <f t="shared" si="14"/>
        <v>0.14620207043568917</v>
      </c>
      <c r="D29" s="17">
        <f t="shared" si="14"/>
        <v>0.26803712913209682</v>
      </c>
      <c r="E29" s="17">
        <f t="shared" si="14"/>
        <v>0.38987218782850447</v>
      </c>
      <c r="F29" s="17">
        <f t="shared" si="14"/>
        <v>0.51170724652491206</v>
      </c>
      <c r="G29" s="17">
        <f t="shared" si="14"/>
        <v>0.63354230522131982</v>
      </c>
      <c r="H29" s="17">
        <f t="shared" si="14"/>
        <v>0.75537736391772747</v>
      </c>
      <c r="I29" s="17">
        <f t="shared" si="14"/>
        <v>0.87721242261413501</v>
      </c>
      <c r="J29" s="17">
        <f t="shared" si="14"/>
        <v>0.99904748131054266</v>
      </c>
      <c r="K29" s="17">
        <f t="shared" si="14"/>
        <v>1.1208825400069504</v>
      </c>
      <c r="L29" s="17">
        <f t="shared" si="14"/>
        <v>1.2427175987033581</v>
      </c>
      <c r="M29" s="17">
        <f t="shared" si="14"/>
        <v>1.3645526573997655</v>
      </c>
      <c r="N29" s="17">
        <f t="shared" si="14"/>
        <v>1.4863877160961734</v>
      </c>
      <c r="O29" s="17">
        <f t="shared" si="14"/>
        <v>1.6082227747925808</v>
      </c>
      <c r="P29" s="17">
        <f t="shared" si="14"/>
        <v>1.7300578334889885</v>
      </c>
      <c r="Q29" s="17">
        <f t="shared" si="14"/>
        <v>1.8518928921853963</v>
      </c>
      <c r="R29" s="17">
        <f t="shared" si="11"/>
        <v>1.973727950881804</v>
      </c>
      <c r="S29" s="17">
        <f t="shared" si="11"/>
        <v>2.0955630095782114</v>
      </c>
      <c r="T29" s="17">
        <f t="shared" si="11"/>
        <v>2.2173980682746195</v>
      </c>
      <c r="U29" s="17">
        <f t="shared" si="11"/>
        <v>2.3392331269710267</v>
      </c>
      <c r="V29" s="17">
        <f t="shared" si="11"/>
        <v>2.4610681856674343</v>
      </c>
      <c r="W29" s="17">
        <f t="shared" si="11"/>
        <v>2.582903244363842</v>
      </c>
      <c r="X29" s="17">
        <f t="shared" si="11"/>
        <v>2.7047383030602496</v>
      </c>
      <c r="Y29" s="17">
        <f t="shared" si="11"/>
        <v>2.8265733617566573</v>
      </c>
      <c r="Z29" s="17">
        <f t="shared" si="11"/>
        <v>2.9484084204530649</v>
      </c>
      <c r="AA29" s="17">
        <f t="shared" si="11"/>
        <v>3.0702434791494726</v>
      </c>
      <c r="AB29" s="17">
        <f t="shared" si="11"/>
        <v>3.1920785378458798</v>
      </c>
      <c r="AC29" s="17">
        <f t="shared" si="12"/>
        <v>3.3139135965422875</v>
      </c>
      <c r="AD29" s="17">
        <f t="shared" si="12"/>
        <v>3.4357486552386955</v>
      </c>
      <c r="AE29" s="17">
        <f t="shared" si="12"/>
        <v>3.5575837139351032</v>
      </c>
      <c r="AF29" s="17">
        <f t="shared" si="12"/>
        <v>3.6794187726315113</v>
      </c>
      <c r="AG29" s="17">
        <f t="shared" si="12"/>
        <v>3.8012538313279189</v>
      </c>
      <c r="AH29" s="17">
        <f t="shared" si="12"/>
        <v>3.9230888900243266</v>
      </c>
      <c r="AI29" s="17">
        <f t="shared" si="12"/>
        <v>4.0449239487207338</v>
      </c>
      <c r="AJ29" s="17">
        <f t="shared" si="12"/>
        <v>4.1667590074171414</v>
      </c>
      <c r="AK29" s="17">
        <f t="shared" si="12"/>
        <v>4.2885940661135491</v>
      </c>
      <c r="AL29" s="17">
        <f t="shared" si="12"/>
        <v>4.4104291248099567</v>
      </c>
      <c r="AM29" s="17">
        <f t="shared" si="12"/>
        <v>4.5322641835063644</v>
      </c>
      <c r="AN29" s="17">
        <f t="shared" si="12"/>
        <v>4.654099242202772</v>
      </c>
      <c r="AO29" s="17">
        <f t="shared" si="12"/>
        <v>4.7759343008991797</v>
      </c>
      <c r="AP29" s="17">
        <f t="shared" si="12"/>
        <v>4.8977693595955873</v>
      </c>
      <c r="AQ29" s="17">
        <f t="shared" si="12"/>
        <v>5.019604418291995</v>
      </c>
      <c r="AR29" s="17">
        <f t="shared" si="12"/>
        <v>5.1414394769884026</v>
      </c>
      <c r="AS29" s="17">
        <f t="shared" si="13"/>
        <v>5.2632745356848103</v>
      </c>
      <c r="AT29" s="17">
        <f t="shared" si="13"/>
        <v>5.3851095943812179</v>
      </c>
      <c r="AU29" s="17">
        <f t="shared" si="13"/>
        <v>5.5069446530776256</v>
      </c>
      <c r="AV29" s="17">
        <f t="shared" si="13"/>
        <v>5.6287797117740332</v>
      </c>
      <c r="AW29" s="17">
        <f t="shared" si="13"/>
        <v>5.7506147704704409</v>
      </c>
      <c r="AX29" s="17">
        <f t="shared" si="5"/>
        <v>5.8724498291668485</v>
      </c>
      <c r="AY29" s="17">
        <f t="shared" si="5"/>
        <v>5.9942848878632562</v>
      </c>
      <c r="AZ29" s="17">
        <f t="shared" si="5"/>
        <v>6.1161199465596638</v>
      </c>
      <c r="BA29" s="17">
        <f t="shared" si="5"/>
        <v>6.2379550052560715</v>
      </c>
      <c r="BB29" s="17">
        <f t="shared" si="5"/>
        <v>6.35979006395248</v>
      </c>
      <c r="BC29" s="17">
        <f t="shared" si="5"/>
        <v>6.4816251226488868</v>
      </c>
      <c r="BD29" s="17">
        <f t="shared" si="5"/>
        <v>6.6034601813452927</v>
      </c>
      <c r="BE29" s="17">
        <f t="shared" si="5"/>
        <v>6.7252952400417012</v>
      </c>
      <c r="BF29" s="17">
        <f>($B$1/1000)*((BF$5+1)/1.01325)*(273.15/(273.15+$A29))*(288.15/(288.15)) * ($B$2 / 0.75)</f>
        <v>6.8471302987381089</v>
      </c>
      <c r="BG29" s="17">
        <f>($B$1/1000)*((BG$5+1)/1.01325)*(273.15/(273.15+$A29))*(288.15/(288.15)) * ($B$2 / 0.75)</f>
        <v>6.9689653574345165</v>
      </c>
      <c r="BH29" s="17">
        <f>($B$1/1000)*((BH$5+1)/1.01325)*(273.15/(273.15+$A29))*(288.15/(288.15)) * ($B$2 / 0.75)</f>
        <v>7.0908004161309242</v>
      </c>
      <c r="BI29" s="17">
        <f>($B$1/1000)*((BI$5+1)/1.01325)*(273.15/(273.15+$A29))*(288.15/(288.15)) * ($B$2 / 0.75)</f>
        <v>7.2126354748273327</v>
      </c>
      <c r="BJ29" s="17">
        <f>($B$1/1000)*((BJ$5+1)/1.01325)*(273.15/(273.15+$A29))*(288.15/(288.15)) * ($B$2 / 0.75)</f>
        <v>7.3344705335237403</v>
      </c>
    </row>
    <row r="30" spans="1:62" ht="18.75">
      <c r="A30" s="1">
        <v>28</v>
      </c>
      <c r="B30" s="17">
        <f t="shared" si="14"/>
        <v>2.4205185328926015E-2</v>
      </c>
      <c r="C30" s="17">
        <f t="shared" si="14"/>
        <v>0.14523111197355609</v>
      </c>
      <c r="D30" s="17">
        <f t="shared" si="14"/>
        <v>0.26625703861818617</v>
      </c>
      <c r="E30" s="17">
        <f t="shared" si="14"/>
        <v>0.38728296526281625</v>
      </c>
      <c r="F30" s="17">
        <f t="shared" si="14"/>
        <v>0.50830889190744621</v>
      </c>
      <c r="G30" s="17">
        <f t="shared" si="14"/>
        <v>0.6293348185520764</v>
      </c>
      <c r="H30" s="17">
        <f t="shared" si="14"/>
        <v>0.75036074519670648</v>
      </c>
      <c r="I30" s="17">
        <f t="shared" si="14"/>
        <v>0.87138667184133656</v>
      </c>
      <c r="J30" s="17">
        <f t="shared" si="14"/>
        <v>0.99241259848596652</v>
      </c>
      <c r="K30" s="17">
        <f t="shared" si="14"/>
        <v>1.1134385251305967</v>
      </c>
      <c r="L30" s="17">
        <f t="shared" si="14"/>
        <v>1.2344644517752268</v>
      </c>
      <c r="M30" s="17">
        <f t="shared" si="14"/>
        <v>1.3554903784198569</v>
      </c>
      <c r="N30" s="17">
        <f t="shared" si="14"/>
        <v>1.4765163050644869</v>
      </c>
      <c r="O30" s="17">
        <f t="shared" si="14"/>
        <v>1.5975422317091168</v>
      </c>
      <c r="P30" s="17">
        <f t="shared" si="14"/>
        <v>1.7185681583537469</v>
      </c>
      <c r="Q30" s="17">
        <f t="shared" si="14"/>
        <v>1.8395940849983772</v>
      </c>
      <c r="R30" s="17">
        <f t="shared" si="11"/>
        <v>1.9606200116430073</v>
      </c>
      <c r="S30" s="17">
        <f t="shared" si="11"/>
        <v>2.0816459382876369</v>
      </c>
      <c r="T30" s="17">
        <f t="shared" si="11"/>
        <v>2.2026718649322676</v>
      </c>
      <c r="U30" s="17">
        <f t="shared" si="11"/>
        <v>2.3236977915768975</v>
      </c>
      <c r="V30" s="17">
        <f t="shared" si="11"/>
        <v>2.4447237182215278</v>
      </c>
      <c r="W30" s="17">
        <f t="shared" si="11"/>
        <v>2.5657496448661576</v>
      </c>
      <c r="X30" s="17">
        <f t="shared" si="11"/>
        <v>2.6867755715107879</v>
      </c>
      <c r="Y30" s="17">
        <f t="shared" si="11"/>
        <v>2.8078014981554178</v>
      </c>
      <c r="Z30" s="17">
        <f t="shared" si="11"/>
        <v>2.9288274248000481</v>
      </c>
      <c r="AA30" s="17">
        <f t="shared" si="11"/>
        <v>3.049853351444678</v>
      </c>
      <c r="AB30" s="17">
        <f t="shared" si="11"/>
        <v>3.1708792780893078</v>
      </c>
      <c r="AC30" s="17">
        <f t="shared" si="12"/>
        <v>3.2919052047339377</v>
      </c>
      <c r="AD30" s="17">
        <f t="shared" si="12"/>
        <v>3.4129311313785684</v>
      </c>
      <c r="AE30" s="17">
        <f t="shared" si="12"/>
        <v>3.5339570580231983</v>
      </c>
      <c r="AF30" s="17">
        <f t="shared" si="12"/>
        <v>3.6549829846678286</v>
      </c>
      <c r="AG30" s="17">
        <f t="shared" si="12"/>
        <v>3.7760089113124584</v>
      </c>
      <c r="AH30" s="17">
        <f t="shared" si="12"/>
        <v>3.8970348379570887</v>
      </c>
      <c r="AI30" s="17">
        <f t="shared" si="12"/>
        <v>4.018060764601719</v>
      </c>
      <c r="AJ30" s="17">
        <f t="shared" si="12"/>
        <v>4.1390866912463489</v>
      </c>
      <c r="AK30" s="17">
        <f t="shared" si="12"/>
        <v>4.2601126178909787</v>
      </c>
      <c r="AL30" s="17">
        <f t="shared" si="12"/>
        <v>4.3811385445356086</v>
      </c>
      <c r="AM30" s="17">
        <f t="shared" si="12"/>
        <v>4.5021644711802384</v>
      </c>
      <c r="AN30" s="17">
        <f t="shared" si="12"/>
        <v>4.6231903978248692</v>
      </c>
      <c r="AO30" s="17">
        <f t="shared" si="12"/>
        <v>4.744216324469499</v>
      </c>
      <c r="AP30" s="17">
        <f t="shared" si="12"/>
        <v>4.8652422511141289</v>
      </c>
      <c r="AQ30" s="17">
        <f t="shared" si="12"/>
        <v>4.9862681777587587</v>
      </c>
      <c r="AR30" s="17">
        <f t="shared" si="12"/>
        <v>5.1072941044033895</v>
      </c>
      <c r="AS30" s="17">
        <f t="shared" si="13"/>
        <v>5.2283200310480193</v>
      </c>
      <c r="AT30" s="17">
        <f t="shared" si="13"/>
        <v>5.3493459576926492</v>
      </c>
      <c r="AU30" s="17">
        <f t="shared" si="13"/>
        <v>5.4703718843372791</v>
      </c>
      <c r="AV30" s="17">
        <f t="shared" si="13"/>
        <v>5.5913978109819098</v>
      </c>
      <c r="AW30" s="17">
        <f t="shared" si="13"/>
        <v>5.7124237376265397</v>
      </c>
      <c r="AX30" s="17">
        <f t="shared" ref="AX30:BJ39" si="15">($B$1/1000)*((AX$5+1)/1.01325)*(273.15/(273.15+$A30))*(288.15/(288.15)) * ($B$2 / 0.75)</f>
        <v>5.8334496642711695</v>
      </c>
      <c r="AY30" s="17">
        <f t="shared" si="15"/>
        <v>5.9544755909157994</v>
      </c>
      <c r="AZ30" s="17">
        <f t="shared" si="15"/>
        <v>6.0755015175604301</v>
      </c>
      <c r="BA30" s="17">
        <f t="shared" si="15"/>
        <v>6.19652744420506</v>
      </c>
      <c r="BB30" s="17">
        <f t="shared" si="15"/>
        <v>6.3175533708496907</v>
      </c>
      <c r="BC30" s="17">
        <f t="shared" si="15"/>
        <v>6.4385792974943197</v>
      </c>
      <c r="BD30" s="17">
        <f t="shared" si="15"/>
        <v>6.5596052241389495</v>
      </c>
      <c r="BE30" s="17">
        <f t="shared" si="15"/>
        <v>6.6806311507835794</v>
      </c>
      <c r="BF30" s="17">
        <f t="shared" si="15"/>
        <v>6.8016570774282101</v>
      </c>
      <c r="BG30" s="17">
        <f t="shared" si="15"/>
        <v>6.92268300407284</v>
      </c>
      <c r="BH30" s="17">
        <f t="shared" si="15"/>
        <v>7.0437089307174707</v>
      </c>
      <c r="BI30" s="17">
        <f t="shared" si="15"/>
        <v>7.1647348573621015</v>
      </c>
      <c r="BJ30" s="17">
        <f t="shared" si="15"/>
        <v>7.2857607840067304</v>
      </c>
    </row>
    <row r="31" spans="1:62" ht="18.75">
      <c r="A31" s="1">
        <v>30</v>
      </c>
      <c r="B31" s="17">
        <f t="shared" si="14"/>
        <v>2.4045494183757444E-2</v>
      </c>
      <c r="C31" s="17">
        <f t="shared" si="14"/>
        <v>0.1442729651025447</v>
      </c>
      <c r="D31" s="17">
        <f t="shared" si="14"/>
        <v>0.26450043602133189</v>
      </c>
      <c r="E31" s="17">
        <f t="shared" si="14"/>
        <v>0.3847279069401191</v>
      </c>
      <c r="F31" s="17">
        <f t="shared" si="14"/>
        <v>0.50495537785890632</v>
      </c>
      <c r="G31" s="17">
        <f t="shared" si="14"/>
        <v>0.62518284877769359</v>
      </c>
      <c r="H31" s="17">
        <f t="shared" si="14"/>
        <v>0.74541031969648086</v>
      </c>
      <c r="I31" s="17">
        <f t="shared" si="14"/>
        <v>0.86563779061526813</v>
      </c>
      <c r="J31" s="17">
        <f t="shared" si="14"/>
        <v>0.98586526153405518</v>
      </c>
      <c r="K31" s="17">
        <f t="shared" si="14"/>
        <v>1.1060927324528427</v>
      </c>
      <c r="L31" s="17">
        <f t="shared" si="14"/>
        <v>1.2263202033716298</v>
      </c>
      <c r="M31" s="17">
        <f t="shared" si="14"/>
        <v>1.3465476742904168</v>
      </c>
      <c r="N31" s="17">
        <f t="shared" si="14"/>
        <v>1.4667751452092044</v>
      </c>
      <c r="O31" s="17">
        <f t="shared" si="14"/>
        <v>1.5870026161279913</v>
      </c>
      <c r="P31" s="17">
        <f t="shared" si="14"/>
        <v>1.7072300870467787</v>
      </c>
      <c r="Q31" s="17">
        <f t="shared" si="14"/>
        <v>1.8274575579655661</v>
      </c>
      <c r="R31" s="17">
        <f t="shared" si="11"/>
        <v>1.9476850288843532</v>
      </c>
      <c r="S31" s="17">
        <f t="shared" si="11"/>
        <v>2.06791249980314</v>
      </c>
      <c r="T31" s="17">
        <f t="shared" si="11"/>
        <v>2.1881399707219278</v>
      </c>
      <c r="U31" s="17">
        <f t="shared" si="11"/>
        <v>2.3083674416407152</v>
      </c>
      <c r="V31" s="17">
        <f t="shared" si="11"/>
        <v>2.4285949125595021</v>
      </c>
      <c r="W31" s="17">
        <f t="shared" si="11"/>
        <v>2.5488223834782895</v>
      </c>
      <c r="X31" s="17">
        <f t="shared" si="11"/>
        <v>2.6690498543970764</v>
      </c>
      <c r="Y31" s="17">
        <f t="shared" si="11"/>
        <v>2.7892773253158638</v>
      </c>
      <c r="Z31" s="17">
        <f t="shared" si="11"/>
        <v>2.9095047962346507</v>
      </c>
      <c r="AA31" s="17">
        <f t="shared" si="11"/>
        <v>3.0297322671534381</v>
      </c>
      <c r="AB31" s="17">
        <f t="shared" si="11"/>
        <v>3.1499597380722251</v>
      </c>
      <c r="AC31" s="17">
        <f t="shared" si="12"/>
        <v>3.270187208991012</v>
      </c>
      <c r="AD31" s="17">
        <f t="shared" si="12"/>
        <v>3.3904146799097998</v>
      </c>
      <c r="AE31" s="17">
        <f t="shared" si="12"/>
        <v>3.5106421508285872</v>
      </c>
      <c r="AF31" s="17">
        <f t="shared" si="12"/>
        <v>3.6308696217473746</v>
      </c>
      <c r="AG31" s="17">
        <f t="shared" si="12"/>
        <v>3.7510970926661615</v>
      </c>
      <c r="AH31" s="17">
        <f t="shared" si="12"/>
        <v>3.8713245635849489</v>
      </c>
      <c r="AI31" s="17">
        <f t="shared" si="12"/>
        <v>3.9915520345037363</v>
      </c>
      <c r="AJ31" s="17">
        <f t="shared" si="12"/>
        <v>4.1117795054225228</v>
      </c>
      <c r="AK31" s="17">
        <f t="shared" si="12"/>
        <v>4.2320069763413102</v>
      </c>
      <c r="AL31" s="17">
        <f t="shared" si="12"/>
        <v>4.3522344472600984</v>
      </c>
      <c r="AM31" s="17">
        <f t="shared" si="12"/>
        <v>4.4724619181788849</v>
      </c>
      <c r="AN31" s="17">
        <f t="shared" si="12"/>
        <v>4.5926893890976723</v>
      </c>
      <c r="AO31" s="17">
        <f t="shared" si="12"/>
        <v>4.7129168600164597</v>
      </c>
      <c r="AP31" s="17">
        <f t="shared" si="12"/>
        <v>4.8331443309352471</v>
      </c>
      <c r="AQ31" s="17">
        <f t="shared" si="12"/>
        <v>4.9533718018540345</v>
      </c>
      <c r="AR31" s="17">
        <f t="shared" si="12"/>
        <v>5.073599272772821</v>
      </c>
      <c r="AS31" s="17">
        <f t="shared" si="13"/>
        <v>5.1938267436916083</v>
      </c>
      <c r="AT31" s="17">
        <f t="shared" si="13"/>
        <v>5.3140542146103957</v>
      </c>
      <c r="AU31" s="17">
        <f t="shared" si="13"/>
        <v>5.4342816855291831</v>
      </c>
      <c r="AV31" s="17">
        <f t="shared" si="13"/>
        <v>5.5545091564479705</v>
      </c>
      <c r="AW31" s="17">
        <f t="shared" si="13"/>
        <v>5.674736627366757</v>
      </c>
      <c r="AX31" s="17">
        <f t="shared" si="15"/>
        <v>5.7949640982855444</v>
      </c>
      <c r="AY31" s="17">
        <f t="shared" si="15"/>
        <v>5.9151915692043318</v>
      </c>
      <c r="AZ31" s="17">
        <f t="shared" si="15"/>
        <v>6.0354190401231191</v>
      </c>
      <c r="BA31" s="17">
        <f t="shared" si="15"/>
        <v>6.1556465110419056</v>
      </c>
      <c r="BB31" s="17">
        <f t="shared" si="15"/>
        <v>6.2758739819606939</v>
      </c>
      <c r="BC31" s="17">
        <f t="shared" si="15"/>
        <v>6.3961014528794804</v>
      </c>
      <c r="BD31" s="17">
        <f t="shared" si="15"/>
        <v>6.5163289237982669</v>
      </c>
      <c r="BE31" s="17">
        <f t="shared" si="15"/>
        <v>6.6365563947170552</v>
      </c>
      <c r="BF31" s="17">
        <f t="shared" si="15"/>
        <v>6.7567838656358417</v>
      </c>
      <c r="BG31" s="17">
        <f t="shared" si="15"/>
        <v>6.877011336554629</v>
      </c>
      <c r="BH31" s="17">
        <f t="shared" si="15"/>
        <v>6.9972388074734164</v>
      </c>
      <c r="BI31" s="17">
        <f t="shared" si="15"/>
        <v>7.1174662783922047</v>
      </c>
      <c r="BJ31" s="17">
        <f t="shared" si="15"/>
        <v>7.2376937493109912</v>
      </c>
    </row>
    <row r="32" spans="1:62" ht="18.75">
      <c r="A32" s="1">
        <v>32</v>
      </c>
      <c r="B32" s="17">
        <f t="shared" si="14"/>
        <v>2.3887896319207177E-2</v>
      </c>
      <c r="C32" s="17">
        <f t="shared" si="14"/>
        <v>0.14332737791524305</v>
      </c>
      <c r="D32" s="17">
        <f t="shared" si="14"/>
        <v>0.26276685951127893</v>
      </c>
      <c r="E32" s="17">
        <f t="shared" si="14"/>
        <v>0.38220634110731483</v>
      </c>
      <c r="F32" s="17">
        <f t="shared" si="14"/>
        <v>0.50164582270335056</v>
      </c>
      <c r="G32" s="17">
        <f t="shared" si="14"/>
        <v>0.62108530429938658</v>
      </c>
      <c r="H32" s="17">
        <f t="shared" si="14"/>
        <v>0.74052478589542248</v>
      </c>
      <c r="I32" s="17">
        <f t="shared" si="14"/>
        <v>0.85996426749145838</v>
      </c>
      <c r="J32" s="17">
        <f t="shared" si="14"/>
        <v>0.97940374908749406</v>
      </c>
      <c r="K32" s="17">
        <f t="shared" si="14"/>
        <v>1.0988432306835301</v>
      </c>
      <c r="L32" s="17">
        <f t="shared" si="14"/>
        <v>1.2182827122795659</v>
      </c>
      <c r="M32" s="17">
        <f t="shared" si="14"/>
        <v>1.3377221938756017</v>
      </c>
      <c r="N32" s="17">
        <f t="shared" si="14"/>
        <v>1.4571616754716377</v>
      </c>
      <c r="O32" s="17">
        <f t="shared" si="14"/>
        <v>1.5766011570676732</v>
      </c>
      <c r="P32" s="17">
        <f t="shared" si="14"/>
        <v>1.6960406386637092</v>
      </c>
      <c r="Q32" s="17">
        <f t="shared" si="14"/>
        <v>1.8154801202597453</v>
      </c>
      <c r="R32" s="17">
        <f t="shared" si="11"/>
        <v>1.934919601855781</v>
      </c>
      <c r="S32" s="17">
        <f t="shared" si="11"/>
        <v>2.0543590834518168</v>
      </c>
      <c r="T32" s="17">
        <f t="shared" si="11"/>
        <v>2.1737985650478526</v>
      </c>
      <c r="U32" s="17">
        <f t="shared" si="11"/>
        <v>2.2932380466438889</v>
      </c>
      <c r="V32" s="17">
        <f t="shared" si="11"/>
        <v>2.4126775282399247</v>
      </c>
      <c r="W32" s="17">
        <f t="shared" si="11"/>
        <v>2.5321170098359604</v>
      </c>
      <c r="X32" s="17">
        <f t="shared" si="11"/>
        <v>2.6515564914319962</v>
      </c>
      <c r="Y32" s="17">
        <f t="shared" si="11"/>
        <v>2.770995973028032</v>
      </c>
      <c r="Z32" s="17">
        <f t="shared" si="11"/>
        <v>2.8904354546240683</v>
      </c>
      <c r="AA32" s="17">
        <f t="shared" si="11"/>
        <v>3.009874936220104</v>
      </c>
      <c r="AB32" s="17">
        <f t="shared" si="11"/>
        <v>3.1293144178161394</v>
      </c>
      <c r="AC32" s="17">
        <f t="shared" si="12"/>
        <v>3.2487538994121752</v>
      </c>
      <c r="AD32" s="17">
        <f t="shared" si="12"/>
        <v>3.3681933810082114</v>
      </c>
      <c r="AE32" s="17">
        <f t="shared" si="12"/>
        <v>3.4876328626042472</v>
      </c>
      <c r="AF32" s="17">
        <f t="shared" si="12"/>
        <v>3.6070723442002834</v>
      </c>
      <c r="AG32" s="17">
        <f t="shared" si="12"/>
        <v>3.7265118257963192</v>
      </c>
      <c r="AH32" s="17">
        <f t="shared" si="12"/>
        <v>3.845951307392355</v>
      </c>
      <c r="AI32" s="17">
        <f t="shared" si="12"/>
        <v>3.9653907889883908</v>
      </c>
      <c r="AJ32" s="17">
        <f t="shared" si="12"/>
        <v>4.084830270584427</v>
      </c>
      <c r="AK32" s="17">
        <f t="shared" si="12"/>
        <v>4.2042697521804628</v>
      </c>
      <c r="AL32" s="17">
        <f t="shared" si="12"/>
        <v>4.3237092337764986</v>
      </c>
      <c r="AM32" s="17">
        <f t="shared" si="12"/>
        <v>4.4431487153725344</v>
      </c>
      <c r="AN32" s="17">
        <f t="shared" si="12"/>
        <v>4.5625881969685702</v>
      </c>
      <c r="AO32" s="17">
        <f t="shared" si="12"/>
        <v>4.6820276785646069</v>
      </c>
      <c r="AP32" s="17">
        <f t="shared" si="12"/>
        <v>4.8014671601606427</v>
      </c>
      <c r="AQ32" s="17">
        <f t="shared" si="12"/>
        <v>4.9209066417566785</v>
      </c>
      <c r="AR32" s="17">
        <f t="shared" si="12"/>
        <v>5.0403461233527143</v>
      </c>
      <c r="AS32" s="17">
        <f t="shared" si="13"/>
        <v>5.15978560494875</v>
      </c>
      <c r="AT32" s="17">
        <f t="shared" si="13"/>
        <v>5.2792250865447858</v>
      </c>
      <c r="AU32" s="17">
        <f t="shared" si="13"/>
        <v>5.3986645681408216</v>
      </c>
      <c r="AV32" s="17">
        <f t="shared" si="13"/>
        <v>5.5181040497368574</v>
      </c>
      <c r="AW32" s="17">
        <f t="shared" si="13"/>
        <v>5.6375435313328932</v>
      </c>
      <c r="AX32" s="17">
        <f t="shared" si="15"/>
        <v>5.756983012928929</v>
      </c>
      <c r="AY32" s="17">
        <f t="shared" si="15"/>
        <v>5.8764224945249648</v>
      </c>
      <c r="AZ32" s="17">
        <f t="shared" si="15"/>
        <v>5.9958619761210006</v>
      </c>
      <c r="BA32" s="17">
        <f t="shared" si="15"/>
        <v>6.1153014577170373</v>
      </c>
      <c r="BB32" s="17">
        <f t="shared" si="15"/>
        <v>6.2347409393130739</v>
      </c>
      <c r="BC32" s="17">
        <f t="shared" si="15"/>
        <v>6.3541804209091088</v>
      </c>
      <c r="BD32" s="17">
        <f t="shared" si="15"/>
        <v>6.4736199025051437</v>
      </c>
      <c r="BE32" s="17">
        <f t="shared" si="15"/>
        <v>6.5930593841011804</v>
      </c>
      <c r="BF32" s="17">
        <f t="shared" si="15"/>
        <v>6.7124988656972162</v>
      </c>
      <c r="BG32" s="17">
        <f t="shared" si="15"/>
        <v>6.831938347293252</v>
      </c>
      <c r="BH32" s="17">
        <f t="shared" si="15"/>
        <v>6.9513778288892878</v>
      </c>
      <c r="BI32" s="17">
        <f t="shared" si="15"/>
        <v>7.0708173104853245</v>
      </c>
      <c r="BJ32" s="17">
        <f t="shared" si="15"/>
        <v>7.1902567920813594</v>
      </c>
    </row>
    <row r="33" spans="1:62" ht="18.75">
      <c r="A33" s="1">
        <v>34</v>
      </c>
      <c r="B33" s="17">
        <f t="shared" si="14"/>
        <v>2.3732350844232683E-2</v>
      </c>
      <c r="C33" s="17">
        <f t="shared" si="14"/>
        <v>0.14239410506539613</v>
      </c>
      <c r="D33" s="17">
        <f t="shared" si="14"/>
        <v>0.26105585928655956</v>
      </c>
      <c r="E33" s="17">
        <f t="shared" si="14"/>
        <v>0.37971761350772293</v>
      </c>
      <c r="F33" s="17">
        <f t="shared" si="14"/>
        <v>0.4983793677288863</v>
      </c>
      <c r="G33" s="17">
        <f t="shared" si="14"/>
        <v>0.6170411219500499</v>
      </c>
      <c r="H33" s="17">
        <f t="shared" si="14"/>
        <v>0.73570287617121322</v>
      </c>
      <c r="I33" s="17">
        <f t="shared" si="14"/>
        <v>0.85436463039237664</v>
      </c>
      <c r="J33" s="17">
        <f t="shared" si="14"/>
        <v>0.97302638461353996</v>
      </c>
      <c r="K33" s="17">
        <f t="shared" si="14"/>
        <v>1.0916881388347035</v>
      </c>
      <c r="L33" s="17">
        <f t="shared" si="14"/>
        <v>1.2103498930558669</v>
      </c>
      <c r="M33" s="17">
        <f t="shared" si="14"/>
        <v>1.3290116472770304</v>
      </c>
      <c r="N33" s="17">
        <f t="shared" si="14"/>
        <v>1.447673401498194</v>
      </c>
      <c r="O33" s="17">
        <f t="shared" si="14"/>
        <v>1.566335155719357</v>
      </c>
      <c r="P33" s="17">
        <f t="shared" si="14"/>
        <v>1.6849969099405204</v>
      </c>
      <c r="Q33" s="17">
        <f t="shared" si="14"/>
        <v>1.8036586641616841</v>
      </c>
      <c r="R33" s="17">
        <f t="shared" si="11"/>
        <v>1.9223204183828477</v>
      </c>
      <c r="S33" s="17">
        <f t="shared" si="11"/>
        <v>2.0409821726040107</v>
      </c>
      <c r="T33" s="17">
        <f t="shared" si="11"/>
        <v>2.1596439268251748</v>
      </c>
      <c r="U33" s="17">
        <f t="shared" si="11"/>
        <v>2.278305681046338</v>
      </c>
      <c r="V33" s="17">
        <f t="shared" si="11"/>
        <v>2.3969674352675012</v>
      </c>
      <c r="W33" s="17">
        <f t="shared" si="11"/>
        <v>2.5156291894886649</v>
      </c>
      <c r="X33" s="17">
        <f t="shared" si="11"/>
        <v>2.6342909437098281</v>
      </c>
      <c r="Y33" s="17">
        <f t="shared" si="11"/>
        <v>2.7529526979309913</v>
      </c>
      <c r="Z33" s="17">
        <f t="shared" si="11"/>
        <v>2.8716144521521549</v>
      </c>
      <c r="AA33" s="17">
        <f t="shared" si="11"/>
        <v>2.9902762063733181</v>
      </c>
      <c r="AB33" s="17">
        <f t="shared" si="11"/>
        <v>3.1089379605944814</v>
      </c>
      <c r="AC33" s="17">
        <f t="shared" si="12"/>
        <v>3.2275997148156446</v>
      </c>
      <c r="AD33" s="17">
        <f t="shared" si="12"/>
        <v>3.3462614690368087</v>
      </c>
      <c r="AE33" s="17">
        <f t="shared" si="12"/>
        <v>3.4649232232579723</v>
      </c>
      <c r="AF33" s="17">
        <f t="shared" si="12"/>
        <v>3.5835849774791355</v>
      </c>
      <c r="AG33" s="17">
        <f t="shared" si="12"/>
        <v>3.7022467317002987</v>
      </c>
      <c r="AH33" s="17">
        <f t="shared" si="12"/>
        <v>3.8209084859214624</v>
      </c>
      <c r="AI33" s="17">
        <f t="shared" si="12"/>
        <v>3.9395702401426256</v>
      </c>
      <c r="AJ33" s="17">
        <f t="shared" si="12"/>
        <v>4.0582319943637897</v>
      </c>
      <c r="AK33" s="17">
        <f t="shared" si="12"/>
        <v>4.1768937485849529</v>
      </c>
      <c r="AL33" s="17">
        <f t="shared" si="12"/>
        <v>4.2955555028061161</v>
      </c>
      <c r="AM33" s="17">
        <f t="shared" si="12"/>
        <v>4.4142172570272793</v>
      </c>
      <c r="AN33" s="17">
        <f t="shared" si="12"/>
        <v>4.5328790112484425</v>
      </c>
      <c r="AO33" s="17">
        <f t="shared" si="12"/>
        <v>4.6515407654696066</v>
      </c>
      <c r="AP33" s="17">
        <f t="shared" si="12"/>
        <v>4.7702025196907689</v>
      </c>
      <c r="AQ33" s="17">
        <f t="shared" si="12"/>
        <v>4.888864273911933</v>
      </c>
      <c r="AR33" s="17">
        <f t="shared" si="12"/>
        <v>5.0075260281330971</v>
      </c>
      <c r="AS33" s="17">
        <f t="shared" si="13"/>
        <v>5.1261877823542594</v>
      </c>
      <c r="AT33" s="17">
        <f t="shared" si="13"/>
        <v>5.2448495365754235</v>
      </c>
      <c r="AU33" s="17">
        <f t="shared" si="13"/>
        <v>5.3635112907965867</v>
      </c>
      <c r="AV33" s="17">
        <f t="shared" si="13"/>
        <v>5.4821730450177499</v>
      </c>
      <c r="AW33" s="17">
        <f t="shared" si="13"/>
        <v>5.6008347992389131</v>
      </c>
      <c r="AX33" s="17">
        <f t="shared" si="15"/>
        <v>5.7194965534600772</v>
      </c>
      <c r="AY33" s="17">
        <f t="shared" si="15"/>
        <v>5.8381583076812404</v>
      </c>
      <c r="AZ33" s="17">
        <f t="shared" si="15"/>
        <v>5.9568200619024037</v>
      </c>
      <c r="BA33" s="17">
        <f t="shared" si="15"/>
        <v>6.0754818161235669</v>
      </c>
      <c r="BB33" s="17">
        <f t="shared" si="15"/>
        <v>6.1941435703447318</v>
      </c>
      <c r="BC33" s="17">
        <f t="shared" si="15"/>
        <v>6.3128053245658942</v>
      </c>
      <c r="BD33" s="17">
        <f t="shared" si="15"/>
        <v>6.4314670787870565</v>
      </c>
      <c r="BE33" s="17">
        <f t="shared" si="15"/>
        <v>6.5501288330082215</v>
      </c>
      <c r="BF33" s="17">
        <f t="shared" si="15"/>
        <v>6.6687905872293838</v>
      </c>
      <c r="BG33" s="17">
        <f t="shared" si="15"/>
        <v>6.7874523414505479</v>
      </c>
      <c r="BH33" s="17">
        <f t="shared" si="15"/>
        <v>6.9061140956717111</v>
      </c>
      <c r="BI33" s="17">
        <f t="shared" si="15"/>
        <v>7.0247758498928752</v>
      </c>
      <c r="BJ33" s="17">
        <f t="shared" si="15"/>
        <v>7.1434376041140375</v>
      </c>
    </row>
    <row r="34" spans="1:62" ht="18.75">
      <c r="A34" s="1">
        <v>36</v>
      </c>
      <c r="B34" s="17">
        <f t="shared" si="14"/>
        <v>2.3578817925945558E-2</v>
      </c>
      <c r="C34" s="17">
        <f t="shared" si="14"/>
        <v>0.14147290755567335</v>
      </c>
      <c r="D34" s="17">
        <f t="shared" si="14"/>
        <v>0.25936699718540118</v>
      </c>
      <c r="E34" s="17">
        <f t="shared" si="14"/>
        <v>0.37726108681512893</v>
      </c>
      <c r="F34" s="17">
        <f t="shared" si="14"/>
        <v>0.49515517644485663</v>
      </c>
      <c r="G34" s="17">
        <f t="shared" si="14"/>
        <v>0.61304926607458465</v>
      </c>
      <c r="H34" s="17">
        <f t="shared" si="14"/>
        <v>0.73094335570431235</v>
      </c>
      <c r="I34" s="17">
        <f t="shared" si="14"/>
        <v>0.84883744533404015</v>
      </c>
      <c r="J34" s="17">
        <f t="shared" si="14"/>
        <v>0.96673153496376785</v>
      </c>
      <c r="K34" s="17">
        <f t="shared" si="14"/>
        <v>1.0846256245934958</v>
      </c>
      <c r="L34" s="17">
        <f t="shared" si="14"/>
        <v>1.2025197142232236</v>
      </c>
      <c r="M34" s="17">
        <f t="shared" si="14"/>
        <v>1.3204138038529512</v>
      </c>
      <c r="N34" s="17">
        <f t="shared" si="14"/>
        <v>1.4383078934826794</v>
      </c>
      <c r="O34" s="17">
        <f t="shared" si="14"/>
        <v>1.5562019831124068</v>
      </c>
      <c r="P34" s="17">
        <f t="shared" si="14"/>
        <v>1.6740960727421346</v>
      </c>
      <c r="Q34" s="17">
        <f t="shared" si="14"/>
        <v>1.7919901623718626</v>
      </c>
      <c r="R34" s="17">
        <f t="shared" si="11"/>
        <v>1.9098842520015904</v>
      </c>
      <c r="S34" s="17">
        <f t="shared" si="11"/>
        <v>2.027778341631318</v>
      </c>
      <c r="T34" s="17">
        <f t="shared" si="11"/>
        <v>2.1456724312610458</v>
      </c>
      <c r="U34" s="17">
        <f t="shared" si="11"/>
        <v>2.2635665208907736</v>
      </c>
      <c r="V34" s="17">
        <f t="shared" si="11"/>
        <v>2.3814606105205014</v>
      </c>
      <c r="W34" s="17">
        <f t="shared" si="11"/>
        <v>2.4993547001502292</v>
      </c>
      <c r="X34" s="17">
        <f t="shared" si="11"/>
        <v>2.6172487897799575</v>
      </c>
      <c r="Y34" s="17">
        <f t="shared" si="11"/>
        <v>2.7351428794096848</v>
      </c>
      <c r="Z34" s="17">
        <f t="shared" si="11"/>
        <v>2.8530369690394126</v>
      </c>
      <c r="AA34" s="17">
        <f t="shared" si="11"/>
        <v>2.9709310586691404</v>
      </c>
      <c r="AB34" s="17">
        <f t="shared" si="11"/>
        <v>3.0888251482988678</v>
      </c>
      <c r="AC34" s="17">
        <f t="shared" si="12"/>
        <v>3.2067192379285956</v>
      </c>
      <c r="AD34" s="17">
        <f t="shared" si="12"/>
        <v>3.3246133275583238</v>
      </c>
      <c r="AE34" s="17">
        <f t="shared" si="12"/>
        <v>3.4425074171880516</v>
      </c>
      <c r="AF34" s="17">
        <f t="shared" si="12"/>
        <v>3.5604015068177794</v>
      </c>
      <c r="AG34" s="17">
        <f t="shared" si="12"/>
        <v>3.6782955964475073</v>
      </c>
      <c r="AH34" s="17">
        <f t="shared" si="12"/>
        <v>3.7961896860772346</v>
      </c>
      <c r="AI34" s="17">
        <f t="shared" si="12"/>
        <v>3.9140837757069629</v>
      </c>
      <c r="AJ34" s="17">
        <f t="shared" si="12"/>
        <v>4.0319778653366907</v>
      </c>
      <c r="AK34" s="17">
        <f t="shared" si="12"/>
        <v>4.1498719549664189</v>
      </c>
      <c r="AL34" s="17">
        <f t="shared" si="12"/>
        <v>4.2677660445961463</v>
      </c>
      <c r="AM34" s="17">
        <f t="shared" si="12"/>
        <v>4.3856601342258745</v>
      </c>
      <c r="AN34" s="17">
        <f t="shared" si="12"/>
        <v>4.503554223855601</v>
      </c>
      <c r="AO34" s="17">
        <f t="shared" si="12"/>
        <v>4.6214483134853293</v>
      </c>
      <c r="AP34" s="17">
        <f t="shared" si="12"/>
        <v>4.7393424031150575</v>
      </c>
      <c r="AQ34" s="17">
        <f t="shared" si="12"/>
        <v>4.8572364927447849</v>
      </c>
      <c r="AR34" s="17">
        <f t="shared" si="12"/>
        <v>4.9751305823745131</v>
      </c>
      <c r="AS34" s="17">
        <f t="shared" si="13"/>
        <v>5.0930246720042405</v>
      </c>
      <c r="AT34" s="17">
        <f t="shared" si="13"/>
        <v>5.2109187616339678</v>
      </c>
      <c r="AU34" s="17">
        <f t="shared" si="13"/>
        <v>5.3288128512636961</v>
      </c>
      <c r="AV34" s="17">
        <f t="shared" si="13"/>
        <v>5.4467069408934243</v>
      </c>
      <c r="AW34" s="17">
        <f t="shared" si="13"/>
        <v>5.5646010305231526</v>
      </c>
      <c r="AX34" s="17">
        <f t="shared" si="15"/>
        <v>5.6824951201528791</v>
      </c>
      <c r="AY34" s="17">
        <f t="shared" si="15"/>
        <v>5.8003892097826073</v>
      </c>
      <c r="AZ34" s="17">
        <f t="shared" si="15"/>
        <v>5.9182832994123356</v>
      </c>
      <c r="BA34" s="17">
        <f t="shared" si="15"/>
        <v>6.0361773890420629</v>
      </c>
      <c r="BB34" s="17">
        <f t="shared" si="15"/>
        <v>6.1540714786717921</v>
      </c>
      <c r="BC34" s="17">
        <f t="shared" si="15"/>
        <v>6.2719655683015185</v>
      </c>
      <c r="BD34" s="17">
        <f t="shared" si="15"/>
        <v>6.389859657931245</v>
      </c>
      <c r="BE34" s="17">
        <f t="shared" si="15"/>
        <v>6.5077537475609741</v>
      </c>
      <c r="BF34" s="17">
        <f t="shared" si="15"/>
        <v>6.6256478371907024</v>
      </c>
      <c r="BG34" s="17">
        <f t="shared" si="15"/>
        <v>6.7435419268204289</v>
      </c>
      <c r="BH34" s="17">
        <f t="shared" si="15"/>
        <v>6.8614360164501571</v>
      </c>
      <c r="BI34" s="17">
        <f t="shared" si="15"/>
        <v>6.9793301060798862</v>
      </c>
      <c r="BJ34" s="17">
        <f t="shared" si="15"/>
        <v>7.0972241957096127</v>
      </c>
    </row>
    <row r="35" spans="1:62" ht="18.75">
      <c r="A35" s="3">
        <v>38</v>
      </c>
      <c r="B35" s="17">
        <f t="shared" si="14"/>
        <v>2.3427258755603631E-2</v>
      </c>
      <c r="C35" s="17">
        <f t="shared" si="14"/>
        <v>0.14056355253362177</v>
      </c>
      <c r="D35" s="17">
        <f t="shared" si="14"/>
        <v>0.25769984631163995</v>
      </c>
      <c r="E35" s="17">
        <f t="shared" si="14"/>
        <v>0.3748361400896581</v>
      </c>
      <c r="F35" s="17">
        <f t="shared" si="14"/>
        <v>0.4919724338676762</v>
      </c>
      <c r="G35" s="17">
        <f t="shared" si="14"/>
        <v>0.60910872764569446</v>
      </c>
      <c r="H35" s="17">
        <f t="shared" si="14"/>
        <v>0.72624502142371261</v>
      </c>
      <c r="I35" s="17">
        <f t="shared" si="14"/>
        <v>0.84338131520173076</v>
      </c>
      <c r="J35" s="17">
        <f t="shared" si="14"/>
        <v>0.9605176089797488</v>
      </c>
      <c r="K35" s="17">
        <f t="shared" si="14"/>
        <v>1.0776539027577672</v>
      </c>
      <c r="L35" s="17">
        <f t="shared" si="14"/>
        <v>1.1947901965357852</v>
      </c>
      <c r="M35" s="17">
        <f t="shared" si="14"/>
        <v>1.3119264903138033</v>
      </c>
      <c r="N35" s="17">
        <f t="shared" si="14"/>
        <v>1.4290627840918215</v>
      </c>
      <c r="O35" s="17">
        <f t="shared" si="14"/>
        <v>1.5461990778698396</v>
      </c>
      <c r="P35" s="17">
        <f t="shared" si="14"/>
        <v>1.6633353716478578</v>
      </c>
      <c r="Q35" s="17">
        <f t="shared" si="14"/>
        <v>1.7804716654258761</v>
      </c>
      <c r="R35" s="17">
        <f t="shared" si="11"/>
        <v>1.8976079592038941</v>
      </c>
      <c r="S35" s="17">
        <f t="shared" si="11"/>
        <v>2.0147442529819117</v>
      </c>
      <c r="T35" s="17">
        <f t="shared" si="11"/>
        <v>2.1318805467599304</v>
      </c>
      <c r="U35" s="17">
        <f t="shared" si="11"/>
        <v>2.2490168405379483</v>
      </c>
      <c r="V35" s="17">
        <f t="shared" si="11"/>
        <v>2.3661531343159665</v>
      </c>
      <c r="W35" s="17">
        <f t="shared" si="11"/>
        <v>2.4832894280939848</v>
      </c>
      <c r="X35" s="17">
        <f t="shared" si="11"/>
        <v>2.600425721872003</v>
      </c>
      <c r="Y35" s="17">
        <f t="shared" si="11"/>
        <v>2.7175620156500209</v>
      </c>
      <c r="Z35" s="17">
        <f t="shared" si="11"/>
        <v>2.8346983094280391</v>
      </c>
      <c r="AA35" s="17">
        <f t="shared" si="11"/>
        <v>2.9518346032060574</v>
      </c>
      <c r="AB35" s="17">
        <f t="shared" si="11"/>
        <v>3.0689708969840752</v>
      </c>
      <c r="AC35" s="17">
        <f t="shared" si="12"/>
        <v>3.186107190762093</v>
      </c>
      <c r="AD35" s="17">
        <f t="shared" si="12"/>
        <v>3.3032434845401117</v>
      </c>
      <c r="AE35" s="17">
        <f t="shared" si="12"/>
        <v>3.42037977831813</v>
      </c>
      <c r="AF35" s="17">
        <f t="shared" si="12"/>
        <v>3.5375160720961483</v>
      </c>
      <c r="AG35" s="17">
        <f t="shared" si="12"/>
        <v>3.6546523658741661</v>
      </c>
      <c r="AH35" s="17">
        <f t="shared" si="12"/>
        <v>3.7717886596521844</v>
      </c>
      <c r="AI35" s="17">
        <f t="shared" si="12"/>
        <v>3.8889249534302026</v>
      </c>
      <c r="AJ35" s="17">
        <f t="shared" si="12"/>
        <v>4.0060612472082209</v>
      </c>
      <c r="AK35" s="17">
        <f t="shared" si="12"/>
        <v>4.1231975409862391</v>
      </c>
      <c r="AL35" s="17">
        <f t="shared" si="12"/>
        <v>4.2403338347642574</v>
      </c>
      <c r="AM35" s="17">
        <f t="shared" si="12"/>
        <v>4.3574701285422748</v>
      </c>
      <c r="AN35" s="17">
        <f t="shared" si="12"/>
        <v>4.4746064223202939</v>
      </c>
      <c r="AO35" s="17">
        <f t="shared" si="12"/>
        <v>4.5917427160983113</v>
      </c>
      <c r="AP35" s="17">
        <f t="shared" si="12"/>
        <v>4.7088790098763305</v>
      </c>
      <c r="AQ35" s="17">
        <f t="shared" si="12"/>
        <v>4.8260153036543478</v>
      </c>
      <c r="AR35" s="17">
        <f t="shared" si="12"/>
        <v>4.9431515974323661</v>
      </c>
      <c r="AS35" s="17">
        <f t="shared" si="13"/>
        <v>5.0602878912103844</v>
      </c>
      <c r="AT35" s="17">
        <f t="shared" si="13"/>
        <v>5.1774241849884026</v>
      </c>
      <c r="AU35" s="17">
        <f t="shared" si="13"/>
        <v>5.29456047876642</v>
      </c>
      <c r="AV35" s="17">
        <f t="shared" si="13"/>
        <v>5.4116967725444391</v>
      </c>
      <c r="AW35" s="17">
        <f t="shared" si="13"/>
        <v>5.5288330663224565</v>
      </c>
      <c r="AX35" s="17">
        <f t="shared" si="15"/>
        <v>5.6459693601004748</v>
      </c>
      <c r="AY35" s="17">
        <f t="shared" si="15"/>
        <v>5.7631056538784931</v>
      </c>
      <c r="AZ35" s="17">
        <f t="shared" si="15"/>
        <v>5.8802419476565113</v>
      </c>
      <c r="BA35" s="17">
        <f t="shared" si="15"/>
        <v>5.9973782414345296</v>
      </c>
      <c r="BB35" s="17">
        <f t="shared" si="15"/>
        <v>6.1145145352125487</v>
      </c>
      <c r="BC35" s="17">
        <f t="shared" si="15"/>
        <v>6.2316508289905652</v>
      </c>
      <c r="BD35" s="17">
        <f t="shared" si="15"/>
        <v>6.3487871227685835</v>
      </c>
      <c r="BE35" s="17">
        <f t="shared" si="15"/>
        <v>6.4659234165466017</v>
      </c>
      <c r="BF35" s="17">
        <f t="shared" si="15"/>
        <v>6.58305971032462</v>
      </c>
      <c r="BG35" s="17">
        <f t="shared" si="15"/>
        <v>6.7001960041026383</v>
      </c>
      <c r="BH35" s="17">
        <f t="shared" si="15"/>
        <v>6.8173322978806565</v>
      </c>
      <c r="BI35" s="17">
        <f t="shared" si="15"/>
        <v>6.9344685916586748</v>
      </c>
      <c r="BJ35" s="17">
        <f t="shared" si="15"/>
        <v>7.0516048854366931</v>
      </c>
    </row>
    <row r="36" spans="1:62" ht="18.75">
      <c r="A36" s="3">
        <v>40</v>
      </c>
      <c r="B36" s="17">
        <f t="shared" si="14"/>
        <v>2.327763551590634E-2</v>
      </c>
      <c r="C36" s="17">
        <f t="shared" si="14"/>
        <v>0.13966581309543805</v>
      </c>
      <c r="D36" s="17">
        <f t="shared" si="14"/>
        <v>0.2560539906749697</v>
      </c>
      <c r="E36" s="17">
        <f t="shared" si="14"/>
        <v>0.37244216825450144</v>
      </c>
      <c r="F36" s="17">
        <f t="shared" si="14"/>
        <v>0.48883034583403306</v>
      </c>
      <c r="G36" s="17">
        <f t="shared" si="14"/>
        <v>0.60521852341356486</v>
      </c>
      <c r="H36" s="17">
        <f t="shared" si="14"/>
        <v>0.72160670099309654</v>
      </c>
      <c r="I36" s="17">
        <f t="shared" si="14"/>
        <v>0.83799487857262822</v>
      </c>
      <c r="J36" s="17">
        <f t="shared" si="14"/>
        <v>0.95438305615215979</v>
      </c>
      <c r="K36" s="17">
        <f t="shared" si="14"/>
        <v>1.0707712337316915</v>
      </c>
      <c r="L36" s="17">
        <f t="shared" si="14"/>
        <v>1.1871594113112234</v>
      </c>
      <c r="M36" s="17">
        <f t="shared" si="14"/>
        <v>1.3035475888907548</v>
      </c>
      <c r="N36" s="17">
        <f t="shared" si="14"/>
        <v>1.4199357664702867</v>
      </c>
      <c r="O36" s="17">
        <f t="shared" si="14"/>
        <v>1.5363239440498182</v>
      </c>
      <c r="P36" s="17">
        <f t="shared" si="14"/>
        <v>1.6527121216293499</v>
      </c>
      <c r="Q36" s="17">
        <f t="shared" si="14"/>
        <v>1.7691002992088818</v>
      </c>
      <c r="R36" s="17">
        <f t="shared" si="11"/>
        <v>1.8854884767884135</v>
      </c>
      <c r="S36" s="17">
        <f t="shared" si="11"/>
        <v>2.0018766543679449</v>
      </c>
      <c r="T36" s="17">
        <f t="shared" si="11"/>
        <v>2.1182648319474771</v>
      </c>
      <c r="U36" s="17">
        <f t="shared" si="11"/>
        <v>2.2346530095270087</v>
      </c>
      <c r="V36" s="17">
        <f t="shared" si="11"/>
        <v>2.3510411871065404</v>
      </c>
      <c r="W36" s="17">
        <f t="shared" si="11"/>
        <v>2.4674293646860721</v>
      </c>
      <c r="X36" s="17">
        <f t="shared" si="11"/>
        <v>2.5838175422656038</v>
      </c>
      <c r="Y36" s="17">
        <f t="shared" si="11"/>
        <v>2.7002057198451355</v>
      </c>
      <c r="Z36" s="17">
        <f t="shared" si="11"/>
        <v>2.8165938974246671</v>
      </c>
      <c r="AA36" s="17">
        <f t="shared" si="11"/>
        <v>2.9329820750041988</v>
      </c>
      <c r="AB36" s="17">
        <f t="shared" si="11"/>
        <v>3.0493702525837301</v>
      </c>
      <c r="AC36" s="17">
        <f t="shared" si="12"/>
        <v>3.1657584301632617</v>
      </c>
      <c r="AD36" s="17">
        <f t="shared" si="12"/>
        <v>3.2821466077427939</v>
      </c>
      <c r="AE36" s="17">
        <f t="shared" si="12"/>
        <v>3.3985347853223256</v>
      </c>
      <c r="AF36" s="17">
        <f t="shared" si="12"/>
        <v>3.5149229629018572</v>
      </c>
      <c r="AG36" s="17">
        <f t="shared" si="12"/>
        <v>3.6313111404813889</v>
      </c>
      <c r="AH36" s="17">
        <f t="shared" si="12"/>
        <v>3.7476993180609202</v>
      </c>
      <c r="AI36" s="17">
        <f t="shared" si="12"/>
        <v>3.8640874956404518</v>
      </c>
      <c r="AJ36" s="17">
        <f t="shared" si="12"/>
        <v>3.9804756732199835</v>
      </c>
      <c r="AK36" s="17">
        <f t="shared" si="12"/>
        <v>4.0968638507995152</v>
      </c>
      <c r="AL36" s="17">
        <f t="shared" si="12"/>
        <v>4.2132520283790473</v>
      </c>
      <c r="AM36" s="17">
        <f t="shared" si="12"/>
        <v>4.3296402059585786</v>
      </c>
      <c r="AN36" s="17">
        <f t="shared" si="12"/>
        <v>4.4460283835381107</v>
      </c>
      <c r="AO36" s="17">
        <f t="shared" si="12"/>
        <v>4.5624165611176419</v>
      </c>
      <c r="AP36" s="17">
        <f t="shared" si="12"/>
        <v>4.6788047386971741</v>
      </c>
      <c r="AQ36" s="17">
        <f t="shared" si="12"/>
        <v>4.7951929162767053</v>
      </c>
      <c r="AR36" s="17">
        <f t="shared" si="12"/>
        <v>4.9115810938562374</v>
      </c>
      <c r="AS36" s="17">
        <f t="shared" si="13"/>
        <v>5.0279692714357687</v>
      </c>
      <c r="AT36" s="17">
        <f t="shared" si="13"/>
        <v>5.1443574490153008</v>
      </c>
      <c r="AU36" s="17">
        <f t="shared" si="13"/>
        <v>5.260745626594832</v>
      </c>
      <c r="AV36" s="17">
        <f t="shared" si="13"/>
        <v>5.3771338041743642</v>
      </c>
      <c r="AW36" s="17">
        <f t="shared" si="13"/>
        <v>5.4935219817538963</v>
      </c>
      <c r="AX36" s="17">
        <f t="shared" si="15"/>
        <v>5.6099101593334275</v>
      </c>
      <c r="AY36" s="17">
        <f t="shared" si="15"/>
        <v>5.7262983369129596</v>
      </c>
      <c r="AZ36" s="17">
        <f t="shared" si="15"/>
        <v>5.8426865144924909</v>
      </c>
      <c r="BA36" s="17">
        <f t="shared" si="15"/>
        <v>5.959074692072023</v>
      </c>
      <c r="BB36" s="17">
        <f t="shared" si="15"/>
        <v>6.0754628696515551</v>
      </c>
      <c r="BC36" s="17">
        <f t="shared" si="15"/>
        <v>6.1918510472310864</v>
      </c>
      <c r="BD36" s="17">
        <f t="shared" si="15"/>
        <v>6.3082392248106167</v>
      </c>
      <c r="BE36" s="17">
        <f t="shared" si="15"/>
        <v>6.4246274023901497</v>
      </c>
      <c r="BF36" s="17">
        <f t="shared" si="15"/>
        <v>6.541015579969681</v>
      </c>
      <c r="BG36" s="17">
        <f t="shared" si="15"/>
        <v>6.6574037575492131</v>
      </c>
      <c r="BH36" s="17">
        <f t="shared" si="15"/>
        <v>6.7737919351287443</v>
      </c>
      <c r="BI36" s="17">
        <f t="shared" si="15"/>
        <v>6.8901801127082773</v>
      </c>
      <c r="BJ36" s="17">
        <f t="shared" si="15"/>
        <v>7.0065682902878077</v>
      </c>
    </row>
    <row r="37" spans="1:62" ht="18.75">
      <c r="A37" s="3">
        <v>42</v>
      </c>
      <c r="B37" s="17">
        <f t="shared" si="14"/>
        <v>2.3129911349535365E-2</v>
      </c>
      <c r="C37" s="17">
        <f t="shared" si="14"/>
        <v>0.13877946809721217</v>
      </c>
      <c r="D37" s="17">
        <f t="shared" si="14"/>
        <v>0.254429024844889</v>
      </c>
      <c r="E37" s="17">
        <f t="shared" si="14"/>
        <v>0.37007858159256585</v>
      </c>
      <c r="F37" s="17">
        <f t="shared" si="14"/>
        <v>0.48572813834024259</v>
      </c>
      <c r="G37" s="17">
        <f t="shared" si="14"/>
        <v>0.60137769508791949</v>
      </c>
      <c r="H37" s="17">
        <f t="shared" si="14"/>
        <v>0.71702725183559635</v>
      </c>
      <c r="I37" s="17">
        <f t="shared" si="14"/>
        <v>0.83267680858327309</v>
      </c>
      <c r="J37" s="17">
        <f t="shared" si="14"/>
        <v>0.94832636533094983</v>
      </c>
      <c r="K37" s="17">
        <f t="shared" si="14"/>
        <v>1.0639759220786267</v>
      </c>
      <c r="L37" s="17">
        <f t="shared" si="14"/>
        <v>1.1796254788263034</v>
      </c>
      <c r="M37" s="17">
        <f t="shared" si="14"/>
        <v>1.2952750355739804</v>
      </c>
      <c r="N37" s="17">
        <f t="shared" si="14"/>
        <v>1.4109245923216573</v>
      </c>
      <c r="O37" s="17">
        <f t="shared" si="14"/>
        <v>1.5265741490693339</v>
      </c>
      <c r="P37" s="17">
        <f t="shared" si="14"/>
        <v>1.6422237058170106</v>
      </c>
      <c r="Q37" s="17">
        <f t="shared" si="14"/>
        <v>1.7578732625646878</v>
      </c>
      <c r="R37" s="17">
        <f t="shared" si="11"/>
        <v>1.8735228193123645</v>
      </c>
      <c r="S37" s="17">
        <f t="shared" si="11"/>
        <v>1.9891723760600408</v>
      </c>
      <c r="T37" s="17">
        <f t="shared" si="11"/>
        <v>2.104821932807718</v>
      </c>
      <c r="U37" s="17">
        <f t="shared" si="11"/>
        <v>2.2204714895553948</v>
      </c>
      <c r="V37" s="17">
        <f t="shared" si="11"/>
        <v>2.3361210463030719</v>
      </c>
      <c r="W37" s="17">
        <f t="shared" si="11"/>
        <v>2.4517706030507487</v>
      </c>
      <c r="X37" s="17">
        <f t="shared" si="11"/>
        <v>2.5674201597984254</v>
      </c>
      <c r="Y37" s="17">
        <f t="shared" si="11"/>
        <v>2.6830697165461022</v>
      </c>
      <c r="Z37" s="17">
        <f t="shared" si="11"/>
        <v>2.7987192732937789</v>
      </c>
      <c r="AA37" s="17">
        <f t="shared" si="11"/>
        <v>2.9143688300414561</v>
      </c>
      <c r="AB37" s="17">
        <f t="shared" si="11"/>
        <v>3.0300183867891319</v>
      </c>
      <c r="AC37" s="17">
        <f t="shared" si="12"/>
        <v>3.1456679435368091</v>
      </c>
      <c r="AD37" s="17">
        <f t="shared" si="12"/>
        <v>3.2613175002844863</v>
      </c>
      <c r="AE37" s="17">
        <f t="shared" si="12"/>
        <v>3.376967057032163</v>
      </c>
      <c r="AF37" s="17">
        <f t="shared" si="12"/>
        <v>3.4926166137798398</v>
      </c>
      <c r="AG37" s="17">
        <f t="shared" si="12"/>
        <v>3.6082661705275165</v>
      </c>
      <c r="AH37" s="17">
        <f t="shared" si="12"/>
        <v>3.7239157272751933</v>
      </c>
      <c r="AI37" s="17">
        <f t="shared" si="12"/>
        <v>3.8395652840228705</v>
      </c>
      <c r="AJ37" s="17">
        <f t="shared" si="12"/>
        <v>3.9552148407705467</v>
      </c>
      <c r="AK37" s="17">
        <f t="shared" si="12"/>
        <v>4.0708643975182239</v>
      </c>
      <c r="AL37" s="17">
        <f t="shared" si="12"/>
        <v>4.1865139542659007</v>
      </c>
      <c r="AM37" s="17">
        <f t="shared" si="12"/>
        <v>4.3021635110135774</v>
      </c>
      <c r="AN37" s="17">
        <f t="shared" si="12"/>
        <v>4.4178130677612542</v>
      </c>
      <c r="AO37" s="17">
        <f t="shared" si="12"/>
        <v>4.5334626245089318</v>
      </c>
      <c r="AP37" s="17">
        <f t="shared" si="12"/>
        <v>4.6491121812566076</v>
      </c>
      <c r="AQ37" s="17">
        <f t="shared" si="12"/>
        <v>4.7647617380042844</v>
      </c>
      <c r="AR37" s="17">
        <f t="shared" si="12"/>
        <v>4.880411294751962</v>
      </c>
      <c r="AS37" s="17">
        <f t="shared" si="13"/>
        <v>4.9960608514996387</v>
      </c>
      <c r="AT37" s="17">
        <f t="shared" si="13"/>
        <v>5.1117104082473146</v>
      </c>
      <c r="AU37" s="17">
        <f t="shared" si="13"/>
        <v>5.2273599649949922</v>
      </c>
      <c r="AV37" s="17">
        <f t="shared" si="13"/>
        <v>5.343009521742669</v>
      </c>
      <c r="AW37" s="17">
        <f t="shared" si="13"/>
        <v>5.4586590784903457</v>
      </c>
      <c r="AX37" s="17">
        <f t="shared" si="15"/>
        <v>5.5743086352380224</v>
      </c>
      <c r="AY37" s="17">
        <f t="shared" si="15"/>
        <v>5.6899581919856992</v>
      </c>
      <c r="AZ37" s="17">
        <f t="shared" si="15"/>
        <v>5.8056077487333759</v>
      </c>
      <c r="BA37" s="17">
        <f t="shared" si="15"/>
        <v>5.9212573054810536</v>
      </c>
      <c r="BB37" s="17">
        <f t="shared" si="15"/>
        <v>6.0369068622287303</v>
      </c>
      <c r="BC37" s="17">
        <f t="shared" si="15"/>
        <v>6.1525564189764061</v>
      </c>
      <c r="BD37" s="17">
        <f t="shared" si="15"/>
        <v>6.268205975724082</v>
      </c>
      <c r="BE37" s="17">
        <f t="shared" si="15"/>
        <v>6.3838555324717605</v>
      </c>
      <c r="BF37" s="17">
        <f t="shared" si="15"/>
        <v>6.4995050892194373</v>
      </c>
      <c r="BG37" s="17">
        <f t="shared" si="15"/>
        <v>6.6151546459671131</v>
      </c>
      <c r="BH37" s="17">
        <f t="shared" si="15"/>
        <v>6.7308042027147907</v>
      </c>
      <c r="BI37" s="17">
        <f t="shared" si="15"/>
        <v>6.8464537594624684</v>
      </c>
      <c r="BJ37" s="17">
        <f t="shared" si="15"/>
        <v>6.9621033162101442</v>
      </c>
    </row>
    <row r="38" spans="1:62" ht="18.75">
      <c r="A38" s="3">
        <v>44</v>
      </c>
      <c r="B38" s="17">
        <f t="shared" si="14"/>
        <v>2.2984050328885605E-2</v>
      </c>
      <c r="C38" s="17">
        <f t="shared" si="14"/>
        <v>0.13790430197331363</v>
      </c>
      <c r="D38" s="17">
        <f t="shared" si="14"/>
        <v>0.25282455361774164</v>
      </c>
      <c r="E38" s="17">
        <f t="shared" si="14"/>
        <v>0.36774480526216968</v>
      </c>
      <c r="F38" s="17">
        <f t="shared" si="14"/>
        <v>0.48266505690659761</v>
      </c>
      <c r="G38" s="17">
        <f t="shared" si="14"/>
        <v>0.59758530855102576</v>
      </c>
      <c r="H38" s="17">
        <f t="shared" si="14"/>
        <v>0.71250556019545375</v>
      </c>
      <c r="I38" s="17">
        <f t="shared" si="14"/>
        <v>0.82742581183988184</v>
      </c>
      <c r="J38" s="17">
        <f t="shared" si="14"/>
        <v>0.9423460634843096</v>
      </c>
      <c r="K38" s="17">
        <f t="shared" si="14"/>
        <v>1.057266315128738</v>
      </c>
      <c r="L38" s="17">
        <f t="shared" si="14"/>
        <v>1.1721865667731659</v>
      </c>
      <c r="M38" s="17">
        <f t="shared" si="14"/>
        <v>1.2871068184175936</v>
      </c>
      <c r="N38" s="17">
        <f t="shared" si="14"/>
        <v>1.4020270700620221</v>
      </c>
      <c r="O38" s="17">
        <f t="shared" si="14"/>
        <v>1.5169473217064497</v>
      </c>
      <c r="P38" s="17">
        <f t="shared" si="14"/>
        <v>1.6318675733508776</v>
      </c>
      <c r="Q38" s="17">
        <f t="shared" si="14"/>
        <v>1.7467878249953059</v>
      </c>
      <c r="R38" s="17">
        <f t="shared" si="11"/>
        <v>1.861708076639734</v>
      </c>
      <c r="S38" s="17">
        <f t="shared" si="11"/>
        <v>1.9766283282841617</v>
      </c>
      <c r="T38" s="17">
        <f t="shared" si="11"/>
        <v>2.0915485799285904</v>
      </c>
      <c r="U38" s="17">
        <f t="shared" si="11"/>
        <v>2.2064688315730181</v>
      </c>
      <c r="V38" s="17">
        <f t="shared" si="11"/>
        <v>2.3213890832174462</v>
      </c>
      <c r="W38" s="17">
        <f t="shared" si="11"/>
        <v>2.4363093348618738</v>
      </c>
      <c r="X38" s="17">
        <f t="shared" si="11"/>
        <v>2.5512295865063019</v>
      </c>
      <c r="Y38" s="17">
        <f t="shared" si="11"/>
        <v>2.6661498381507305</v>
      </c>
      <c r="Z38" s="17">
        <f t="shared" si="11"/>
        <v>2.7810700897951581</v>
      </c>
      <c r="AA38" s="17">
        <f t="shared" si="11"/>
        <v>2.8959903414395862</v>
      </c>
      <c r="AB38" s="17">
        <f t="shared" si="11"/>
        <v>3.0109105930840139</v>
      </c>
      <c r="AC38" s="17">
        <f t="shared" si="12"/>
        <v>3.1258308447284415</v>
      </c>
      <c r="AD38" s="17">
        <f t="shared" si="12"/>
        <v>3.2407510963728701</v>
      </c>
      <c r="AE38" s="17">
        <f t="shared" si="12"/>
        <v>3.3556713480172982</v>
      </c>
      <c r="AF38" s="17">
        <f t="shared" si="12"/>
        <v>3.4705915996617263</v>
      </c>
      <c r="AG38" s="17">
        <f t="shared" si="12"/>
        <v>3.5855118513061544</v>
      </c>
      <c r="AH38" s="17">
        <f t="shared" si="12"/>
        <v>3.700432102950582</v>
      </c>
      <c r="AI38" s="17">
        <f t="shared" si="12"/>
        <v>3.8153523545950101</v>
      </c>
      <c r="AJ38" s="17">
        <f t="shared" si="12"/>
        <v>3.9302726062394386</v>
      </c>
      <c r="AK38" s="17">
        <f t="shared" si="12"/>
        <v>4.0451928578838663</v>
      </c>
      <c r="AL38" s="17">
        <f t="shared" si="12"/>
        <v>4.1601131095282948</v>
      </c>
      <c r="AM38" s="17">
        <f t="shared" si="12"/>
        <v>4.2750333611727225</v>
      </c>
      <c r="AN38" s="17">
        <f t="shared" si="12"/>
        <v>4.389953612817151</v>
      </c>
      <c r="AO38" s="17">
        <f t="shared" si="12"/>
        <v>4.5048738644615787</v>
      </c>
      <c r="AP38" s="17">
        <f t="shared" si="12"/>
        <v>4.6197941161060063</v>
      </c>
      <c r="AQ38" s="17">
        <f t="shared" si="12"/>
        <v>4.734714367750434</v>
      </c>
      <c r="AR38" s="17">
        <f t="shared" si="12"/>
        <v>4.8496346193948625</v>
      </c>
      <c r="AS38" s="17">
        <f t="shared" si="13"/>
        <v>4.9645548710392902</v>
      </c>
      <c r="AT38" s="17">
        <f t="shared" si="13"/>
        <v>5.0794751226837178</v>
      </c>
      <c r="AU38" s="17">
        <f t="shared" si="13"/>
        <v>5.1943953743281464</v>
      </c>
      <c r="AV38" s="17">
        <f t="shared" si="13"/>
        <v>5.309315625972574</v>
      </c>
      <c r="AW38" s="17">
        <f t="shared" si="13"/>
        <v>5.4242358776170025</v>
      </c>
      <c r="AX38" s="17">
        <f t="shared" si="15"/>
        <v>5.5391561292614311</v>
      </c>
      <c r="AY38" s="17">
        <f t="shared" si="15"/>
        <v>5.6540763809058587</v>
      </c>
      <c r="AZ38" s="17">
        <f t="shared" si="15"/>
        <v>5.7689966325502864</v>
      </c>
      <c r="BA38" s="17">
        <f t="shared" si="15"/>
        <v>5.8839168841947149</v>
      </c>
      <c r="BB38" s="17">
        <f t="shared" si="15"/>
        <v>5.9988371358391435</v>
      </c>
      <c r="BC38" s="17">
        <f t="shared" si="15"/>
        <v>6.1137573874835702</v>
      </c>
      <c r="BD38" s="17">
        <f t="shared" si="15"/>
        <v>6.2286776391279979</v>
      </c>
      <c r="BE38" s="17">
        <f t="shared" si="15"/>
        <v>6.3435978907724264</v>
      </c>
      <c r="BF38" s="17">
        <f t="shared" si="15"/>
        <v>6.4585181424168541</v>
      </c>
      <c r="BG38" s="17">
        <f t="shared" si="15"/>
        <v>6.5734383940612826</v>
      </c>
      <c r="BH38" s="17">
        <f t="shared" si="15"/>
        <v>6.6883586457057111</v>
      </c>
      <c r="BI38" s="17">
        <f t="shared" si="15"/>
        <v>6.8032788973501397</v>
      </c>
      <c r="BJ38" s="17">
        <f t="shared" si="15"/>
        <v>6.9181991489945664</v>
      </c>
    </row>
    <row r="39" spans="1:62" ht="18.75">
      <c r="A39" s="3">
        <v>46</v>
      </c>
      <c r="B39" s="17">
        <f t="shared" si="14"/>
        <v>2.2840017426934263E-2</v>
      </c>
      <c r="C39" s="17">
        <f t="shared" si="14"/>
        <v>0.13704010456160556</v>
      </c>
      <c r="D39" s="17">
        <f t="shared" si="14"/>
        <v>0.25124019169627687</v>
      </c>
      <c r="E39" s="17">
        <f t="shared" si="14"/>
        <v>0.36544027883094821</v>
      </c>
      <c r="F39" s="17">
        <f t="shared" si="14"/>
        <v>0.47964036596561943</v>
      </c>
      <c r="G39" s="17">
        <f t="shared" si="14"/>
        <v>0.59384045310029088</v>
      </c>
      <c r="H39" s="17">
        <f t="shared" si="14"/>
        <v>0.7080405402349621</v>
      </c>
      <c r="I39" s="17">
        <f t="shared" si="14"/>
        <v>0.82224062736963344</v>
      </c>
      <c r="J39" s="17">
        <f t="shared" si="14"/>
        <v>0.93644071450430466</v>
      </c>
      <c r="K39" s="17">
        <f t="shared" si="14"/>
        <v>1.0506408016389761</v>
      </c>
      <c r="L39" s="17">
        <f t="shared" si="14"/>
        <v>1.1648408887736474</v>
      </c>
      <c r="M39" s="17">
        <f t="shared" si="14"/>
        <v>1.2790409759083186</v>
      </c>
      <c r="N39" s="17">
        <f t="shared" si="14"/>
        <v>1.3932410630429901</v>
      </c>
      <c r="O39" s="17">
        <f t="shared" si="14"/>
        <v>1.5074411501776612</v>
      </c>
      <c r="P39" s="17">
        <f t="shared" si="14"/>
        <v>1.6216412373123326</v>
      </c>
      <c r="Q39" s="17">
        <f t="shared" si="14"/>
        <v>1.7358413244470039</v>
      </c>
      <c r="R39" s="17">
        <f t="shared" si="11"/>
        <v>1.8500414115816752</v>
      </c>
      <c r="S39" s="17">
        <f t="shared" si="11"/>
        <v>1.9642414987163461</v>
      </c>
      <c r="T39" s="17">
        <f t="shared" si="11"/>
        <v>2.0784415858510181</v>
      </c>
      <c r="U39" s="17">
        <f t="shared" si="11"/>
        <v>2.192641672985689</v>
      </c>
      <c r="V39" s="17">
        <f t="shared" si="11"/>
        <v>2.3068417601203604</v>
      </c>
      <c r="W39" s="17">
        <f t="shared" si="11"/>
        <v>2.4210418472550317</v>
      </c>
      <c r="X39" s="17">
        <f t="shared" si="11"/>
        <v>2.535241934389703</v>
      </c>
      <c r="Y39" s="17">
        <f t="shared" si="11"/>
        <v>2.6494420215243744</v>
      </c>
      <c r="Z39" s="17">
        <f t="shared" si="11"/>
        <v>2.7636421086590457</v>
      </c>
      <c r="AA39" s="17">
        <f t="shared" si="11"/>
        <v>2.877842195793717</v>
      </c>
      <c r="AB39" s="17">
        <f t="shared" si="11"/>
        <v>2.9920422829283879</v>
      </c>
      <c r="AC39" s="17">
        <f t="shared" si="12"/>
        <v>3.1062423700630593</v>
      </c>
      <c r="AD39" s="17">
        <f t="shared" si="12"/>
        <v>3.220442457197731</v>
      </c>
      <c r="AE39" s="17">
        <f t="shared" si="12"/>
        <v>3.3346425443324024</v>
      </c>
      <c r="AF39" s="17">
        <f t="shared" si="12"/>
        <v>3.4488426314670737</v>
      </c>
      <c r="AG39" s="17">
        <f t="shared" si="12"/>
        <v>3.563042718601745</v>
      </c>
      <c r="AH39" s="17">
        <f t="shared" si="12"/>
        <v>3.6772428057364164</v>
      </c>
      <c r="AI39" s="17">
        <f t="shared" si="12"/>
        <v>3.7914428928710873</v>
      </c>
      <c r="AJ39" s="17">
        <f t="shared" si="12"/>
        <v>3.9056429800057586</v>
      </c>
      <c r="AK39" s="17">
        <f t="shared" si="12"/>
        <v>4.0198430671404299</v>
      </c>
      <c r="AL39" s="17">
        <f t="shared" si="12"/>
        <v>4.1340431542751013</v>
      </c>
      <c r="AM39" s="17">
        <f t="shared" si="12"/>
        <v>4.2482432414097726</v>
      </c>
      <c r="AN39" s="17">
        <f t="shared" si="12"/>
        <v>4.3624433285444439</v>
      </c>
      <c r="AO39" s="17">
        <f t="shared" si="12"/>
        <v>4.4766434156791153</v>
      </c>
      <c r="AP39" s="17">
        <f t="shared" si="12"/>
        <v>4.5908435028137857</v>
      </c>
      <c r="AQ39" s="17">
        <f t="shared" si="12"/>
        <v>4.7050435899484579</v>
      </c>
      <c r="AR39" s="17">
        <f t="shared" si="12"/>
        <v>4.8192436770831284</v>
      </c>
      <c r="AS39" s="17">
        <f t="shared" si="13"/>
        <v>4.9334437642178006</v>
      </c>
      <c r="AT39" s="17">
        <f t="shared" si="13"/>
        <v>5.0476438513524711</v>
      </c>
      <c r="AU39" s="17">
        <f t="shared" si="13"/>
        <v>5.1618439384871433</v>
      </c>
      <c r="AV39" s="17">
        <f t="shared" si="13"/>
        <v>5.2760440256218137</v>
      </c>
      <c r="AW39" s="17">
        <f t="shared" si="13"/>
        <v>5.390244112756486</v>
      </c>
      <c r="AX39" s="17">
        <f t="shared" si="15"/>
        <v>5.5044441998911564</v>
      </c>
      <c r="AY39" s="17">
        <f t="shared" si="15"/>
        <v>5.6186442870258286</v>
      </c>
      <c r="AZ39" s="17">
        <f t="shared" si="15"/>
        <v>5.7328443741604991</v>
      </c>
      <c r="BA39" s="17">
        <f t="shared" si="15"/>
        <v>5.8470444612951713</v>
      </c>
      <c r="BB39" s="17">
        <f t="shared" si="15"/>
        <v>5.9612445484298426</v>
      </c>
      <c r="BC39" s="17">
        <f t="shared" si="15"/>
        <v>6.075444635564514</v>
      </c>
      <c r="BD39" s="17">
        <f t="shared" si="15"/>
        <v>6.1896447226991835</v>
      </c>
      <c r="BE39" s="17">
        <f t="shared" si="15"/>
        <v>6.3038448098338558</v>
      </c>
      <c r="BF39" s="17">
        <f t="shared" si="15"/>
        <v>6.4180448969685271</v>
      </c>
      <c r="BG39" s="17">
        <f t="shared" si="15"/>
        <v>6.5322449841031984</v>
      </c>
      <c r="BH39" s="17">
        <f t="shared" si="15"/>
        <v>6.6464450712378698</v>
      </c>
      <c r="BI39" s="17">
        <f t="shared" si="15"/>
        <v>6.760645158372542</v>
      </c>
      <c r="BJ39" s="17">
        <f t="shared" si="15"/>
        <v>6.8748452455072124</v>
      </c>
    </row>
    <row r="40" spans="1:62" ht="18.75">
      <c r="A40" s="3">
        <v>48</v>
      </c>
      <c r="B40" s="17">
        <f t="shared" si="14"/>
        <v>2.2697778489198409E-2</v>
      </c>
      <c r="C40" s="17">
        <f t="shared" si="14"/>
        <v>0.13618667093519049</v>
      </c>
      <c r="D40" s="17">
        <f t="shared" si="14"/>
        <v>0.24967556338118252</v>
      </c>
      <c r="E40" s="17">
        <f t="shared" si="14"/>
        <v>0.36316445582717455</v>
      </c>
      <c r="F40" s="17">
        <f t="shared" si="14"/>
        <v>0.47665334827316658</v>
      </c>
      <c r="G40" s="17">
        <f t="shared" si="14"/>
        <v>0.59014224071915866</v>
      </c>
      <c r="H40" s="17">
        <f t="shared" si="14"/>
        <v>0.70363113316515069</v>
      </c>
      <c r="I40" s="17">
        <f t="shared" si="14"/>
        <v>0.81712002561114283</v>
      </c>
      <c r="J40" s="17">
        <f t="shared" si="14"/>
        <v>0.93060891805713475</v>
      </c>
      <c r="K40" s="17">
        <f t="shared" si="14"/>
        <v>1.0440978105031271</v>
      </c>
      <c r="L40" s="17">
        <f t="shared" si="14"/>
        <v>1.1575867029491189</v>
      </c>
      <c r="M40" s="17">
        <f t="shared" si="14"/>
        <v>1.2710755953951109</v>
      </c>
      <c r="N40" s="17">
        <f t="shared" si="14"/>
        <v>1.3845644878411032</v>
      </c>
      <c r="O40" s="17">
        <f t="shared" si="14"/>
        <v>1.498053380287095</v>
      </c>
      <c r="P40" s="17">
        <f t="shared" si="14"/>
        <v>1.611542272733087</v>
      </c>
      <c r="Q40" s="17">
        <f t="shared" si="14"/>
        <v>1.7250311651790795</v>
      </c>
      <c r="R40" s="17">
        <f t="shared" si="11"/>
        <v>1.8385200576250713</v>
      </c>
      <c r="S40" s="17">
        <f t="shared" si="11"/>
        <v>1.9520089500710631</v>
      </c>
      <c r="T40" s="17">
        <f t="shared" si="11"/>
        <v>2.0654978425170554</v>
      </c>
      <c r="U40" s="17">
        <f t="shared" si="11"/>
        <v>2.1789867349630478</v>
      </c>
      <c r="V40" s="17">
        <f t="shared" si="11"/>
        <v>2.2924756274090394</v>
      </c>
      <c r="W40" s="17">
        <f t="shared" si="11"/>
        <v>2.4059645198550315</v>
      </c>
      <c r="X40" s="17">
        <f t="shared" si="11"/>
        <v>2.5194534123010235</v>
      </c>
      <c r="Y40" s="17">
        <f t="shared" si="11"/>
        <v>2.632942304747016</v>
      </c>
      <c r="Z40" s="17">
        <f t="shared" si="11"/>
        <v>2.7464311971930075</v>
      </c>
      <c r="AA40" s="17">
        <f t="shared" si="11"/>
        <v>2.8599200896389996</v>
      </c>
      <c r="AB40" s="17">
        <f t="shared" si="11"/>
        <v>2.9734089820849916</v>
      </c>
      <c r="AC40" s="17">
        <f t="shared" si="12"/>
        <v>3.0868978745309836</v>
      </c>
      <c r="AD40" s="17">
        <f t="shared" si="12"/>
        <v>3.2003867669769757</v>
      </c>
      <c r="AE40" s="17">
        <f t="shared" si="12"/>
        <v>3.3138756594229681</v>
      </c>
      <c r="AF40" s="17">
        <f t="shared" si="12"/>
        <v>3.4273645518689602</v>
      </c>
      <c r="AG40" s="17">
        <f t="shared" si="12"/>
        <v>3.5408534443149517</v>
      </c>
      <c r="AH40" s="17">
        <f t="shared" si="12"/>
        <v>3.6543423367609442</v>
      </c>
      <c r="AI40" s="17">
        <f t="shared" si="12"/>
        <v>3.7678312292069362</v>
      </c>
      <c r="AJ40" s="17">
        <f t="shared" si="12"/>
        <v>3.8813201216529283</v>
      </c>
      <c r="AK40" s="17">
        <f t="shared" si="12"/>
        <v>3.9948090140989203</v>
      </c>
      <c r="AL40" s="17">
        <f t="shared" si="12"/>
        <v>4.1082979065449123</v>
      </c>
      <c r="AM40" s="17">
        <f t="shared" si="12"/>
        <v>4.2217867989909044</v>
      </c>
      <c r="AN40" s="17">
        <f t="shared" si="12"/>
        <v>4.3352756914368964</v>
      </c>
      <c r="AO40" s="17">
        <f t="shared" si="12"/>
        <v>4.4487645838828884</v>
      </c>
      <c r="AP40" s="17">
        <f t="shared" si="12"/>
        <v>4.5622534763288805</v>
      </c>
      <c r="AQ40" s="17">
        <f t="shared" si="12"/>
        <v>4.6757423687748725</v>
      </c>
      <c r="AR40" s="17">
        <f t="shared" si="12"/>
        <v>4.7892312612208645</v>
      </c>
      <c r="AS40" s="17">
        <f t="shared" si="13"/>
        <v>4.9027201536668565</v>
      </c>
      <c r="AT40" s="17">
        <f t="shared" si="13"/>
        <v>5.0162090461128486</v>
      </c>
      <c r="AU40" s="17">
        <f t="shared" si="13"/>
        <v>5.1296979385588406</v>
      </c>
      <c r="AV40" s="17">
        <f t="shared" si="13"/>
        <v>5.2431868310048326</v>
      </c>
      <c r="AW40" s="17">
        <f t="shared" si="13"/>
        <v>5.3566757234508255</v>
      </c>
      <c r="AX40" s="17">
        <f t="shared" ref="AX40:BJ40" si="16">($B$1/1000)*((AX$5+1)/1.01325)*(273.15/(273.15+$A40))*(288.15/(288.15)) * ($B$2 / 0.75)</f>
        <v>5.4701646158968167</v>
      </c>
      <c r="AY40" s="17">
        <f t="shared" si="16"/>
        <v>5.5836535083428087</v>
      </c>
      <c r="AZ40" s="17">
        <f t="shared" si="16"/>
        <v>5.6971424007888016</v>
      </c>
      <c r="BA40" s="17">
        <f t="shared" si="16"/>
        <v>5.8106312932347928</v>
      </c>
      <c r="BB40" s="17">
        <f t="shared" si="16"/>
        <v>5.9241201856807857</v>
      </c>
      <c r="BC40" s="17">
        <f t="shared" si="16"/>
        <v>6.0376090781267777</v>
      </c>
      <c r="BD40" s="17">
        <f t="shared" si="16"/>
        <v>6.151097970572768</v>
      </c>
      <c r="BE40" s="17">
        <f t="shared" si="16"/>
        <v>6.2645868630187609</v>
      </c>
      <c r="BF40" s="17">
        <f t="shared" si="16"/>
        <v>6.3780757554647538</v>
      </c>
      <c r="BG40" s="17">
        <f t="shared" si="16"/>
        <v>6.4915646479107449</v>
      </c>
      <c r="BH40" s="17">
        <f t="shared" si="16"/>
        <v>6.6050535403567379</v>
      </c>
      <c r="BI40" s="17">
        <f t="shared" si="16"/>
        <v>6.7185424328027308</v>
      </c>
      <c r="BJ40" s="17">
        <f t="shared" si="16"/>
        <v>6.832031325248721</v>
      </c>
    </row>
    <row r="41" spans="1:62" ht="18.75">
      <c r="A41" s="3">
        <v>50</v>
      </c>
      <c r="B41" s="17">
        <f t="shared" si="14"/>
        <v>2.2557300206733931E-2</v>
      </c>
      <c r="C41" s="17">
        <f t="shared" si="14"/>
        <v>0.1353438012404036</v>
      </c>
      <c r="D41" s="17">
        <f t="shared" si="14"/>
        <v>0.24813030227407323</v>
      </c>
      <c r="E41" s="17">
        <f t="shared" si="14"/>
        <v>0.36091680330774289</v>
      </c>
      <c r="F41" s="17">
        <f t="shared" si="14"/>
        <v>0.47370330434141245</v>
      </c>
      <c r="G41" s="17">
        <f t="shared" si="14"/>
        <v>0.58648980537508222</v>
      </c>
      <c r="H41" s="17">
        <f t="shared" si="14"/>
        <v>0.69927630640875182</v>
      </c>
      <c r="I41" s="17">
        <f t="shared" si="14"/>
        <v>0.81206280744242143</v>
      </c>
      <c r="J41" s="17">
        <f t="shared" si="14"/>
        <v>0.92484930847609093</v>
      </c>
      <c r="K41" s="17">
        <f t="shared" si="14"/>
        <v>1.0376358095097609</v>
      </c>
      <c r="L41" s="17">
        <f t="shared" si="14"/>
        <v>1.1504223105434306</v>
      </c>
      <c r="M41" s="17">
        <f t="shared" si="14"/>
        <v>1.2632088115770999</v>
      </c>
      <c r="N41" s="17">
        <f t="shared" si="14"/>
        <v>1.3759953126107696</v>
      </c>
      <c r="O41" s="17">
        <f t="shared" si="14"/>
        <v>1.4887818136444393</v>
      </c>
      <c r="P41" s="17">
        <f t="shared" si="14"/>
        <v>1.6015683146781088</v>
      </c>
      <c r="Q41" s="17">
        <f t="shared" si="14"/>
        <v>1.7143548157117787</v>
      </c>
      <c r="R41" s="17">
        <f t="shared" si="11"/>
        <v>1.8271413167454482</v>
      </c>
      <c r="S41" s="17">
        <f t="shared" si="11"/>
        <v>1.9399278177791177</v>
      </c>
      <c r="T41" s="17">
        <f t="shared" si="11"/>
        <v>2.0527143188127877</v>
      </c>
      <c r="U41" s="17">
        <f t="shared" si="11"/>
        <v>2.1655008198464576</v>
      </c>
      <c r="V41" s="17">
        <f t="shared" si="11"/>
        <v>2.2782873208801266</v>
      </c>
      <c r="W41" s="17">
        <f t="shared" si="11"/>
        <v>2.3910738219137966</v>
      </c>
      <c r="X41" s="17">
        <f t="shared" si="11"/>
        <v>2.5038603229474665</v>
      </c>
      <c r="Y41" s="17">
        <f t="shared" si="11"/>
        <v>2.6166468239811356</v>
      </c>
      <c r="Z41" s="17">
        <f t="shared" si="11"/>
        <v>2.7294333250148055</v>
      </c>
      <c r="AA41" s="17">
        <f t="shared" si="11"/>
        <v>2.842219826048475</v>
      </c>
      <c r="AB41" s="17">
        <f t="shared" si="11"/>
        <v>2.9550063270821445</v>
      </c>
      <c r="AC41" s="17">
        <f t="shared" si="12"/>
        <v>3.067792828115814</v>
      </c>
      <c r="AD41" s="17">
        <f t="shared" si="12"/>
        <v>3.1805793291494839</v>
      </c>
      <c r="AE41" s="17">
        <f t="shared" si="12"/>
        <v>3.2933658301831534</v>
      </c>
      <c r="AF41" s="17">
        <f t="shared" si="12"/>
        <v>3.4061523312168234</v>
      </c>
      <c r="AG41" s="17">
        <f t="shared" si="12"/>
        <v>3.5189388322504929</v>
      </c>
      <c r="AH41" s="17">
        <f t="shared" si="12"/>
        <v>3.6317253332841628</v>
      </c>
      <c r="AI41" s="17">
        <f t="shared" si="12"/>
        <v>3.7445118343178323</v>
      </c>
      <c r="AJ41" s="17">
        <f t="shared" si="12"/>
        <v>3.8572983353515018</v>
      </c>
      <c r="AK41" s="17">
        <f t="shared" si="12"/>
        <v>3.9700848363851717</v>
      </c>
      <c r="AL41" s="17">
        <f t="shared" si="12"/>
        <v>4.0828713374188412</v>
      </c>
      <c r="AM41" s="17">
        <f t="shared" si="12"/>
        <v>4.1956578384525107</v>
      </c>
      <c r="AN41" s="17">
        <f t="shared" si="12"/>
        <v>4.3084443394861802</v>
      </c>
      <c r="AO41" s="17">
        <f t="shared" si="12"/>
        <v>4.4212308405198506</v>
      </c>
      <c r="AP41" s="17">
        <f t="shared" si="12"/>
        <v>4.5340173415535201</v>
      </c>
      <c r="AQ41" s="17">
        <f t="shared" si="12"/>
        <v>4.6468038425871887</v>
      </c>
      <c r="AR41" s="17">
        <f t="shared" ref="AR41:BG46" si="17">($B$1/1000)*((AR$5+1)/1.01325)*(273.15/(273.15+$A41))*(288.15/(288.15)) * ($B$2 / 0.75)</f>
        <v>4.7595903436208591</v>
      </c>
      <c r="AS41" s="17">
        <f t="shared" si="17"/>
        <v>4.8723768446545286</v>
      </c>
      <c r="AT41" s="17">
        <f t="shared" si="17"/>
        <v>4.9851633456881981</v>
      </c>
      <c r="AU41" s="17">
        <f t="shared" si="17"/>
        <v>5.0979498467218685</v>
      </c>
      <c r="AV41" s="17">
        <f t="shared" si="17"/>
        <v>5.210736347755538</v>
      </c>
      <c r="AW41" s="17">
        <f t="shared" si="17"/>
        <v>5.3235228487892066</v>
      </c>
      <c r="AX41" s="17">
        <f t="shared" si="17"/>
        <v>5.4363093498228769</v>
      </c>
      <c r="AY41" s="17">
        <f t="shared" si="17"/>
        <v>5.5490958508565464</v>
      </c>
      <c r="AZ41" s="17">
        <f t="shared" si="17"/>
        <v>5.6618823518902159</v>
      </c>
      <c r="BA41" s="17">
        <f t="shared" si="17"/>
        <v>5.7746688529238863</v>
      </c>
      <c r="BB41" s="17">
        <f t="shared" si="17"/>
        <v>5.8874553539575558</v>
      </c>
      <c r="BC41" s="17">
        <f t="shared" si="17"/>
        <v>6.0002418549912244</v>
      </c>
      <c r="BD41" s="17">
        <f t="shared" si="17"/>
        <v>6.113028356024893</v>
      </c>
      <c r="BE41" s="17">
        <f t="shared" si="17"/>
        <v>6.2258148570585643</v>
      </c>
      <c r="BF41" s="17">
        <f t="shared" si="17"/>
        <v>6.3386013580922338</v>
      </c>
      <c r="BG41" s="17">
        <f t="shared" si="17"/>
        <v>6.4513878591259033</v>
      </c>
      <c r="BH41" s="17">
        <f t="shared" ref="BH41:BJ46" si="18">($B$1/1000)*((BH$5+1)/1.01325)*(273.15/(273.15+$A41))*(288.15/(288.15)) * ($B$2 / 0.75)</f>
        <v>6.5641743601595737</v>
      </c>
      <c r="BI41" s="17">
        <f t="shared" si="18"/>
        <v>6.6769608611932432</v>
      </c>
      <c r="BJ41" s="17">
        <f t="shared" si="18"/>
        <v>6.7897473622269118</v>
      </c>
    </row>
    <row r="42" spans="1:62" ht="18.75">
      <c r="A42" s="3">
        <v>52</v>
      </c>
      <c r="B42" s="17">
        <f t="shared" si="14"/>
        <v>2.2418550090130919E-2</v>
      </c>
      <c r="C42" s="17">
        <f t="shared" si="14"/>
        <v>0.13451130054078553</v>
      </c>
      <c r="D42" s="17">
        <f t="shared" si="14"/>
        <v>0.24660405099144012</v>
      </c>
      <c r="E42" s="17">
        <f t="shared" si="14"/>
        <v>0.3586968014420947</v>
      </c>
      <c r="F42" s="17">
        <f t="shared" si="14"/>
        <v>0.47078955189274929</v>
      </c>
      <c r="G42" s="17">
        <f t="shared" si="14"/>
        <v>0.58288230234340399</v>
      </c>
      <c r="H42" s="17">
        <f t="shared" si="14"/>
        <v>0.69497505279405858</v>
      </c>
      <c r="I42" s="17">
        <f t="shared" si="14"/>
        <v>0.80706780324471328</v>
      </c>
      <c r="J42" s="17">
        <f t="shared" si="14"/>
        <v>0.91916055369536775</v>
      </c>
      <c r="K42" s="17">
        <f t="shared" si="14"/>
        <v>1.0312533041460226</v>
      </c>
      <c r="L42" s="17">
        <f t="shared" si="14"/>
        <v>1.1433460545966772</v>
      </c>
      <c r="M42" s="17">
        <f t="shared" si="14"/>
        <v>1.2554388050473315</v>
      </c>
      <c r="N42" s="17">
        <f t="shared" si="14"/>
        <v>1.3675315554979863</v>
      </c>
      <c r="O42" s="17">
        <f t="shared" si="14"/>
        <v>1.4796243059486407</v>
      </c>
      <c r="P42" s="17">
        <f t="shared" si="14"/>
        <v>1.5917170563992953</v>
      </c>
      <c r="Q42" s="17">
        <f t="shared" ref="Q42:AF46" si="19">($B$1/1000)*((Q$5+1)/1.01325)*(273.15/(273.15+$A42))*(288.15/(288.15)) * ($B$2 / 0.75)</f>
        <v>1.7038098068499501</v>
      </c>
      <c r="R42" s="17">
        <f t="shared" si="19"/>
        <v>1.8159025573006047</v>
      </c>
      <c r="S42" s="17">
        <f t="shared" si="19"/>
        <v>1.927995307751259</v>
      </c>
      <c r="T42" s="17">
        <f t="shared" si="19"/>
        <v>2.0400880582019139</v>
      </c>
      <c r="U42" s="17">
        <f t="shared" si="19"/>
        <v>2.1521808086525684</v>
      </c>
      <c r="V42" s="17">
        <f t="shared" si="19"/>
        <v>2.264273559103223</v>
      </c>
      <c r="W42" s="17">
        <f t="shared" si="19"/>
        <v>2.3763663095538776</v>
      </c>
      <c r="X42" s="17">
        <f t="shared" si="19"/>
        <v>2.4884590600045327</v>
      </c>
      <c r="Y42" s="17">
        <f t="shared" si="19"/>
        <v>2.6005518104551872</v>
      </c>
      <c r="Z42" s="17">
        <f t="shared" si="19"/>
        <v>2.7126445609058418</v>
      </c>
      <c r="AA42" s="17">
        <f t="shared" si="19"/>
        <v>2.8247373113564964</v>
      </c>
      <c r="AB42" s="17">
        <f t="shared" si="19"/>
        <v>2.9368300618071506</v>
      </c>
      <c r="AC42" s="17">
        <f t="shared" si="19"/>
        <v>3.0489228122578051</v>
      </c>
      <c r="AD42" s="17">
        <f t="shared" si="19"/>
        <v>3.1610155627084602</v>
      </c>
      <c r="AE42" s="17">
        <f t="shared" si="19"/>
        <v>3.2731083131591148</v>
      </c>
      <c r="AF42" s="17">
        <f t="shared" si="19"/>
        <v>3.3852010636097694</v>
      </c>
      <c r="AG42" s="17">
        <f t="shared" ref="AG42:AV46" si="20">($B$1/1000)*((AG$5+1)/1.01325)*(273.15/(273.15+$A42))*(288.15/(288.15)) * ($B$2 / 0.75)</f>
        <v>3.4972938140604239</v>
      </c>
      <c r="AH42" s="17">
        <f t="shared" si="20"/>
        <v>3.6093865645110781</v>
      </c>
      <c r="AI42" s="17">
        <f t="shared" si="20"/>
        <v>3.7214793149617327</v>
      </c>
      <c r="AJ42" s="17">
        <f t="shared" si="20"/>
        <v>3.8335720654123873</v>
      </c>
      <c r="AK42" s="17">
        <f t="shared" si="20"/>
        <v>3.9456648158630419</v>
      </c>
      <c r="AL42" s="17">
        <f t="shared" si="20"/>
        <v>4.0577575663136969</v>
      </c>
      <c r="AM42" s="17">
        <f t="shared" si="20"/>
        <v>4.1698503167643519</v>
      </c>
      <c r="AN42" s="17">
        <f t="shared" si="20"/>
        <v>4.2819430672150061</v>
      </c>
      <c r="AO42" s="17">
        <f t="shared" si="20"/>
        <v>4.3940358176656611</v>
      </c>
      <c r="AP42" s="17">
        <f t="shared" si="20"/>
        <v>4.5061285681163152</v>
      </c>
      <c r="AQ42" s="17">
        <f t="shared" si="20"/>
        <v>4.6182213185669703</v>
      </c>
      <c r="AR42" s="17">
        <f t="shared" si="20"/>
        <v>4.7303140690176244</v>
      </c>
      <c r="AS42" s="17">
        <f t="shared" si="20"/>
        <v>4.8424068194682794</v>
      </c>
      <c r="AT42" s="17">
        <f t="shared" si="20"/>
        <v>4.9544995699189336</v>
      </c>
      <c r="AU42" s="17">
        <f t="shared" si="20"/>
        <v>5.0665923203695886</v>
      </c>
      <c r="AV42" s="17">
        <f t="shared" si="20"/>
        <v>5.1786850708202437</v>
      </c>
      <c r="AW42" s="17">
        <f t="shared" si="17"/>
        <v>5.2907778212708978</v>
      </c>
      <c r="AX42" s="17">
        <f t="shared" si="17"/>
        <v>5.4028705717215528</v>
      </c>
      <c r="AY42" s="17">
        <f t="shared" si="17"/>
        <v>5.5149633221722061</v>
      </c>
      <c r="AZ42" s="17">
        <f t="shared" si="17"/>
        <v>5.6270560726228611</v>
      </c>
      <c r="BA42" s="17">
        <f t="shared" si="17"/>
        <v>5.7391488230735153</v>
      </c>
      <c r="BB42" s="17">
        <f t="shared" si="17"/>
        <v>5.8512415735241721</v>
      </c>
      <c r="BC42" s="17">
        <f t="shared" si="17"/>
        <v>5.9633343239748244</v>
      </c>
      <c r="BD42" s="17">
        <f t="shared" si="17"/>
        <v>6.0754270744254786</v>
      </c>
      <c r="BE42" s="17">
        <f t="shared" si="17"/>
        <v>6.1875198248761336</v>
      </c>
      <c r="BF42" s="17">
        <f t="shared" si="17"/>
        <v>6.2996125753267886</v>
      </c>
      <c r="BG42" s="17">
        <f t="shared" si="17"/>
        <v>6.4117053257774428</v>
      </c>
      <c r="BH42" s="17">
        <f t="shared" si="18"/>
        <v>6.5237980762280978</v>
      </c>
      <c r="BI42" s="17">
        <f t="shared" si="18"/>
        <v>6.6358908266787529</v>
      </c>
      <c r="BJ42" s="17">
        <f t="shared" si="18"/>
        <v>6.747983577129407</v>
      </c>
    </row>
    <row r="43" spans="1:62" ht="18.75">
      <c r="A43" s="3">
        <v>54</v>
      </c>
      <c r="B43" s="17">
        <f t="shared" ref="B43:Q46" si="21">($B$1/1000)*((B$5+1)/1.01325)*(273.15/(273.15+$A43))*(288.15/(288.15)) * ($B$2 / 0.75)</f>
        <v>2.2281496444462996E-2</v>
      </c>
      <c r="C43" s="17">
        <f t="shared" si="21"/>
        <v>0.13368897866677798</v>
      </c>
      <c r="D43" s="17">
        <f t="shared" si="21"/>
        <v>0.24509646088909295</v>
      </c>
      <c r="E43" s="17">
        <f t="shared" si="21"/>
        <v>0.35650394311140793</v>
      </c>
      <c r="F43" s="17">
        <f t="shared" si="21"/>
        <v>0.46791142533372282</v>
      </c>
      <c r="G43" s="17">
        <f t="shared" si="21"/>
        <v>0.57931890755603788</v>
      </c>
      <c r="H43" s="17">
        <f t="shared" si="21"/>
        <v>0.69072638977835299</v>
      </c>
      <c r="I43" s="17">
        <f t="shared" si="21"/>
        <v>0.80213387200066788</v>
      </c>
      <c r="J43" s="17">
        <f t="shared" si="21"/>
        <v>0.91354135422298277</v>
      </c>
      <c r="K43" s="17">
        <f t="shared" si="21"/>
        <v>1.0249488364452979</v>
      </c>
      <c r="L43" s="17">
        <f t="shared" si="21"/>
        <v>1.1363563186676129</v>
      </c>
      <c r="M43" s="17">
        <f t="shared" si="21"/>
        <v>1.2477638008899277</v>
      </c>
      <c r="N43" s="17">
        <f t="shared" si="21"/>
        <v>1.3591712831122429</v>
      </c>
      <c r="O43" s="17">
        <f t="shared" si="21"/>
        <v>1.4705787653345577</v>
      </c>
      <c r="P43" s="17">
        <f t="shared" si="21"/>
        <v>1.5819862475568727</v>
      </c>
      <c r="Q43" s="17">
        <f t="shared" si="21"/>
        <v>1.6933937297791879</v>
      </c>
      <c r="R43" s="17">
        <f t="shared" si="19"/>
        <v>1.8048012120015027</v>
      </c>
      <c r="S43" s="17">
        <f t="shared" si="19"/>
        <v>1.9162086942238175</v>
      </c>
      <c r="T43" s="17">
        <f t="shared" si="19"/>
        <v>2.0276161764461329</v>
      </c>
      <c r="U43" s="17">
        <f t="shared" si="19"/>
        <v>2.1390236586684477</v>
      </c>
      <c r="V43" s="17">
        <f t="shared" si="19"/>
        <v>2.2504311408907629</v>
      </c>
      <c r="W43" s="17">
        <f t="shared" si="19"/>
        <v>2.3618386231130777</v>
      </c>
      <c r="X43" s="17">
        <f t="shared" si="19"/>
        <v>2.4732461053353925</v>
      </c>
      <c r="Y43" s="17">
        <f t="shared" si="19"/>
        <v>2.5846535875577077</v>
      </c>
      <c r="Z43" s="17">
        <f t="shared" si="19"/>
        <v>2.6960610697800225</v>
      </c>
      <c r="AA43" s="17">
        <f t="shared" si="19"/>
        <v>2.8074685520023372</v>
      </c>
      <c r="AB43" s="17">
        <f t="shared" si="19"/>
        <v>2.9188760342246525</v>
      </c>
      <c r="AC43" s="17">
        <f t="shared" si="19"/>
        <v>3.0302835164469673</v>
      </c>
      <c r="AD43" s="17">
        <f t="shared" si="19"/>
        <v>3.1416909986692825</v>
      </c>
      <c r="AE43" s="17">
        <f t="shared" si="19"/>
        <v>3.2530984808915973</v>
      </c>
      <c r="AF43" s="17">
        <f t="shared" si="19"/>
        <v>3.3645059631139125</v>
      </c>
      <c r="AG43" s="17">
        <f t="shared" si="20"/>
        <v>3.4759134453362273</v>
      </c>
      <c r="AH43" s="17">
        <f t="shared" si="20"/>
        <v>3.587320927558542</v>
      </c>
      <c r="AI43" s="17">
        <f t="shared" si="20"/>
        <v>3.6987284097808577</v>
      </c>
      <c r="AJ43" s="17">
        <f t="shared" si="20"/>
        <v>3.8101358920031725</v>
      </c>
      <c r="AK43" s="17">
        <f t="shared" si="20"/>
        <v>3.9215433742254873</v>
      </c>
      <c r="AL43" s="17">
        <f t="shared" si="20"/>
        <v>4.032950856447802</v>
      </c>
      <c r="AM43" s="17">
        <f t="shared" si="20"/>
        <v>4.1443583386701173</v>
      </c>
      <c r="AN43" s="17">
        <f t="shared" si="20"/>
        <v>4.2557658208924325</v>
      </c>
      <c r="AO43" s="17">
        <f t="shared" si="20"/>
        <v>4.3671733031147468</v>
      </c>
      <c r="AP43" s="17">
        <f t="shared" si="20"/>
        <v>4.4785807853370621</v>
      </c>
      <c r="AQ43" s="17">
        <f t="shared" si="20"/>
        <v>4.5899882675593764</v>
      </c>
      <c r="AR43" s="17">
        <f t="shared" si="20"/>
        <v>4.7013957497816925</v>
      </c>
      <c r="AS43" s="17">
        <f t="shared" si="20"/>
        <v>4.8128032320040077</v>
      </c>
      <c r="AT43" s="17">
        <f t="shared" si="20"/>
        <v>4.9242107142263221</v>
      </c>
      <c r="AU43" s="17">
        <f t="shared" si="20"/>
        <v>5.0356181964486373</v>
      </c>
      <c r="AV43" s="17">
        <f t="shared" si="20"/>
        <v>5.1470256786709516</v>
      </c>
      <c r="AW43" s="17">
        <f t="shared" si="17"/>
        <v>5.2584331608932668</v>
      </c>
      <c r="AX43" s="17">
        <f t="shared" si="17"/>
        <v>5.3698406431155812</v>
      </c>
      <c r="AY43" s="17">
        <f t="shared" si="17"/>
        <v>5.4812481253378973</v>
      </c>
      <c r="AZ43" s="17">
        <f t="shared" si="17"/>
        <v>5.5926556075602125</v>
      </c>
      <c r="BA43" s="17">
        <f t="shared" si="17"/>
        <v>5.7040630897825269</v>
      </c>
      <c r="BB43" s="17">
        <f t="shared" si="17"/>
        <v>5.815470572004843</v>
      </c>
      <c r="BC43" s="17">
        <f t="shared" si="17"/>
        <v>5.9268780542271564</v>
      </c>
      <c r="BD43" s="17">
        <f t="shared" si="17"/>
        <v>6.0382855364494707</v>
      </c>
      <c r="BE43" s="17">
        <f t="shared" si="17"/>
        <v>6.1496930186717869</v>
      </c>
      <c r="BF43" s="17">
        <f t="shared" si="17"/>
        <v>6.2611005008941021</v>
      </c>
      <c r="BG43" s="17">
        <f t="shared" si="17"/>
        <v>6.3725079831164173</v>
      </c>
      <c r="BH43" s="17">
        <f t="shared" si="18"/>
        <v>6.4839154653387316</v>
      </c>
      <c r="BI43" s="17">
        <f t="shared" si="18"/>
        <v>6.5953229475610478</v>
      </c>
      <c r="BJ43" s="17">
        <f t="shared" si="18"/>
        <v>6.7067304297833612</v>
      </c>
    </row>
    <row r="44" spans="1:62" ht="18.75">
      <c r="A44" s="3">
        <v>56</v>
      </c>
      <c r="B44" s="17">
        <f t="shared" si="21"/>
        <v>2.2146108345149837E-2</v>
      </c>
      <c r="C44" s="17">
        <f t="shared" si="21"/>
        <v>0.13287665007089902</v>
      </c>
      <c r="D44" s="17">
        <f t="shared" si="21"/>
        <v>0.24360719179664822</v>
      </c>
      <c r="E44" s="17">
        <f t="shared" si="21"/>
        <v>0.35433773352239739</v>
      </c>
      <c r="F44" s="17">
        <f t="shared" si="21"/>
        <v>0.46506827524814653</v>
      </c>
      <c r="G44" s="17">
        <f t="shared" si="21"/>
        <v>0.57579881697389579</v>
      </c>
      <c r="H44" s="17">
        <f t="shared" si="21"/>
        <v>0.68652935869964493</v>
      </c>
      <c r="I44" s="17">
        <f t="shared" si="21"/>
        <v>0.79725990042539419</v>
      </c>
      <c r="J44" s="17">
        <f t="shared" si="21"/>
        <v>0.90799044215114322</v>
      </c>
      <c r="K44" s="17">
        <f t="shared" si="21"/>
        <v>1.0187209838768927</v>
      </c>
      <c r="L44" s="17">
        <f t="shared" si="21"/>
        <v>1.1294515256026418</v>
      </c>
      <c r="M44" s="17">
        <f t="shared" si="21"/>
        <v>1.2401820673283908</v>
      </c>
      <c r="N44" s="17">
        <f t="shared" si="21"/>
        <v>1.3509126090541401</v>
      </c>
      <c r="O44" s="17">
        <f t="shared" si="21"/>
        <v>1.4616431507798893</v>
      </c>
      <c r="P44" s="17">
        <f t="shared" si="21"/>
        <v>1.5723736925056384</v>
      </c>
      <c r="Q44" s="17">
        <f t="shared" si="21"/>
        <v>1.6831042342313878</v>
      </c>
      <c r="R44" s="17">
        <f t="shared" si="19"/>
        <v>1.7938347759571369</v>
      </c>
      <c r="S44" s="17">
        <f t="shared" si="19"/>
        <v>1.9045653176828856</v>
      </c>
      <c r="T44" s="17">
        <f t="shared" si="19"/>
        <v>2.0152958594086354</v>
      </c>
      <c r="U44" s="17">
        <f t="shared" si="19"/>
        <v>2.1260264011343843</v>
      </c>
      <c r="V44" s="17">
        <f t="shared" si="19"/>
        <v>2.2367569428601337</v>
      </c>
      <c r="W44" s="17">
        <f t="shared" si="19"/>
        <v>2.3474874845858826</v>
      </c>
      <c r="X44" s="17">
        <f t="shared" si="19"/>
        <v>2.458218026311632</v>
      </c>
      <c r="Y44" s="17">
        <f t="shared" si="19"/>
        <v>2.5689485680373809</v>
      </c>
      <c r="Z44" s="17">
        <f t="shared" si="19"/>
        <v>2.6796791097631303</v>
      </c>
      <c r="AA44" s="17">
        <f t="shared" si="19"/>
        <v>2.7904096514888792</v>
      </c>
      <c r="AB44" s="17">
        <f t="shared" si="19"/>
        <v>2.9011401932146281</v>
      </c>
      <c r="AC44" s="17">
        <f t="shared" si="19"/>
        <v>3.0118707349403775</v>
      </c>
      <c r="AD44" s="17">
        <f t="shared" si="19"/>
        <v>3.1226012766661269</v>
      </c>
      <c r="AE44" s="17">
        <f t="shared" si="19"/>
        <v>3.2333318183918767</v>
      </c>
      <c r="AF44" s="17">
        <f t="shared" si="19"/>
        <v>3.3440623601176256</v>
      </c>
      <c r="AG44" s="17">
        <f t="shared" si="20"/>
        <v>3.454792901843375</v>
      </c>
      <c r="AH44" s="17">
        <f t="shared" si="20"/>
        <v>3.5655234435691239</v>
      </c>
      <c r="AI44" s="17">
        <f t="shared" si="20"/>
        <v>3.6762539852948732</v>
      </c>
      <c r="AJ44" s="17">
        <f t="shared" si="20"/>
        <v>3.7869845270206222</v>
      </c>
      <c r="AK44" s="17">
        <f t="shared" si="20"/>
        <v>3.8977150687463715</v>
      </c>
      <c r="AL44" s="17">
        <f t="shared" si="20"/>
        <v>4.0084456104721209</v>
      </c>
      <c r="AM44" s="17">
        <f t="shared" si="20"/>
        <v>4.1191761521978698</v>
      </c>
      <c r="AN44" s="17">
        <f t="shared" si="20"/>
        <v>4.2299066939236187</v>
      </c>
      <c r="AO44" s="17">
        <f t="shared" si="20"/>
        <v>4.3406372356493677</v>
      </c>
      <c r="AP44" s="17">
        <f t="shared" si="20"/>
        <v>4.4513677773751166</v>
      </c>
      <c r="AQ44" s="17">
        <f t="shared" si="20"/>
        <v>4.5620983191008664</v>
      </c>
      <c r="AR44" s="17">
        <f t="shared" si="20"/>
        <v>4.6728288608266153</v>
      </c>
      <c r="AS44" s="17">
        <f t="shared" si="20"/>
        <v>4.7835594025523642</v>
      </c>
      <c r="AT44" s="17">
        <f t="shared" si="20"/>
        <v>4.8942899442781149</v>
      </c>
      <c r="AU44" s="17">
        <f t="shared" si="20"/>
        <v>5.0050204860038638</v>
      </c>
      <c r="AV44" s="17">
        <f t="shared" si="20"/>
        <v>5.1157510277296128</v>
      </c>
      <c r="AW44" s="17">
        <f t="shared" si="17"/>
        <v>5.2264815694553617</v>
      </c>
      <c r="AX44" s="17">
        <f t="shared" si="17"/>
        <v>5.3372121111811115</v>
      </c>
      <c r="AY44" s="17">
        <f t="shared" si="17"/>
        <v>5.4479426529068604</v>
      </c>
      <c r="AZ44" s="17">
        <f t="shared" si="17"/>
        <v>5.5586731946326093</v>
      </c>
      <c r="BA44" s="17">
        <f t="shared" si="17"/>
        <v>5.6694037363583583</v>
      </c>
      <c r="BB44" s="17">
        <f t="shared" si="17"/>
        <v>5.780134278084109</v>
      </c>
      <c r="BC44" s="17">
        <f t="shared" si="17"/>
        <v>5.890864819809857</v>
      </c>
      <c r="BD44" s="17">
        <f t="shared" si="17"/>
        <v>6.0015953615356059</v>
      </c>
      <c r="BE44" s="17">
        <f t="shared" si="17"/>
        <v>6.1123259032613557</v>
      </c>
      <c r="BF44" s="17">
        <f t="shared" si="17"/>
        <v>6.2230564449871046</v>
      </c>
      <c r="BG44" s="17">
        <f t="shared" si="17"/>
        <v>6.3337869867128536</v>
      </c>
      <c r="BH44" s="17">
        <f t="shared" si="18"/>
        <v>6.4445175284386025</v>
      </c>
      <c r="BI44" s="17">
        <f t="shared" si="18"/>
        <v>6.5552480701643532</v>
      </c>
      <c r="BJ44" s="17">
        <f t="shared" si="18"/>
        <v>6.6659786118901012</v>
      </c>
    </row>
    <row r="45" spans="1:62" ht="18.75">
      <c r="A45" s="3">
        <v>58</v>
      </c>
      <c r="B45" s="17">
        <f t="shared" si="21"/>
        <v>2.2012355614694456E-2</v>
      </c>
      <c r="C45" s="17">
        <f t="shared" si="21"/>
        <v>0.13207413368816676</v>
      </c>
      <c r="D45" s="17">
        <f t="shared" si="21"/>
        <v>0.24213591176163901</v>
      </c>
      <c r="E45" s="17">
        <f t="shared" si="21"/>
        <v>0.35219768983511129</v>
      </c>
      <c r="F45" s="17">
        <f t="shared" si="21"/>
        <v>0.46225946790858352</v>
      </c>
      <c r="G45" s="17">
        <f t="shared" si="21"/>
        <v>0.57232124598205592</v>
      </c>
      <c r="H45" s="17">
        <f t="shared" si="21"/>
        <v>0.68238302405552809</v>
      </c>
      <c r="I45" s="17">
        <f t="shared" si="21"/>
        <v>0.79244480212900048</v>
      </c>
      <c r="J45" s="17">
        <f t="shared" si="21"/>
        <v>0.90250658020247254</v>
      </c>
      <c r="K45" s="17">
        <f t="shared" si="21"/>
        <v>1.012568358275945</v>
      </c>
      <c r="L45" s="17">
        <f t="shared" si="21"/>
        <v>1.1226301363494173</v>
      </c>
      <c r="M45" s="17">
        <f t="shared" si="21"/>
        <v>1.2326919144228896</v>
      </c>
      <c r="N45" s="17">
        <f t="shared" si="21"/>
        <v>1.3427536924963619</v>
      </c>
      <c r="O45" s="17">
        <f t="shared" si="21"/>
        <v>1.452815470569834</v>
      </c>
      <c r="P45" s="17">
        <f t="shared" si="21"/>
        <v>1.5628772486433062</v>
      </c>
      <c r="Q45" s="17">
        <f t="shared" si="21"/>
        <v>1.6729390267167787</v>
      </c>
      <c r="R45" s="17">
        <f t="shared" si="19"/>
        <v>1.7830008047902512</v>
      </c>
      <c r="S45" s="17">
        <f t="shared" si="19"/>
        <v>1.8930625828637229</v>
      </c>
      <c r="T45" s="17">
        <f t="shared" si="19"/>
        <v>2.0031243609371958</v>
      </c>
      <c r="U45" s="17">
        <f t="shared" si="19"/>
        <v>2.1131861390106681</v>
      </c>
      <c r="V45" s="17">
        <f t="shared" si="19"/>
        <v>2.2232479170841399</v>
      </c>
      <c r="W45" s="17">
        <f t="shared" si="19"/>
        <v>2.3333096951576127</v>
      </c>
      <c r="X45" s="17">
        <f t="shared" si="19"/>
        <v>2.4433714732310845</v>
      </c>
      <c r="Y45" s="17">
        <f t="shared" si="19"/>
        <v>2.5534332513045572</v>
      </c>
      <c r="Z45" s="17">
        <f t="shared" si="19"/>
        <v>2.6634950293780295</v>
      </c>
      <c r="AA45" s="17">
        <f t="shared" si="19"/>
        <v>2.7735568074515013</v>
      </c>
      <c r="AB45" s="17">
        <f t="shared" si="19"/>
        <v>2.8836185855249736</v>
      </c>
      <c r="AC45" s="17">
        <f t="shared" si="19"/>
        <v>2.9936803635984455</v>
      </c>
      <c r="AD45" s="17">
        <f t="shared" si="19"/>
        <v>3.1037421416719182</v>
      </c>
      <c r="AE45" s="17">
        <f t="shared" si="19"/>
        <v>3.2138039197453905</v>
      </c>
      <c r="AF45" s="17">
        <f t="shared" si="19"/>
        <v>3.3238656978188628</v>
      </c>
      <c r="AG45" s="17">
        <f t="shared" si="20"/>
        <v>3.4339274758923355</v>
      </c>
      <c r="AH45" s="17">
        <f t="shared" si="20"/>
        <v>3.5439892539658073</v>
      </c>
      <c r="AI45" s="17">
        <f t="shared" si="20"/>
        <v>3.6540510320392796</v>
      </c>
      <c r="AJ45" s="17">
        <f t="shared" si="20"/>
        <v>3.7641128101127519</v>
      </c>
      <c r="AK45" s="17">
        <f t="shared" si="20"/>
        <v>3.8741745881862242</v>
      </c>
      <c r="AL45" s="17">
        <f t="shared" si="20"/>
        <v>3.9842363662596969</v>
      </c>
      <c r="AM45" s="17">
        <f t="shared" si="20"/>
        <v>4.0942981443331687</v>
      </c>
      <c r="AN45" s="17">
        <f t="shared" si="20"/>
        <v>4.204359922406641</v>
      </c>
      <c r="AO45" s="17">
        <f t="shared" si="20"/>
        <v>4.3144217004801133</v>
      </c>
      <c r="AP45" s="17">
        <f t="shared" si="20"/>
        <v>4.4244834785535865</v>
      </c>
      <c r="AQ45" s="17">
        <f t="shared" si="20"/>
        <v>4.5345452566270579</v>
      </c>
      <c r="AR45" s="17">
        <f t="shared" si="20"/>
        <v>4.6446070347005302</v>
      </c>
      <c r="AS45" s="17">
        <f t="shared" si="20"/>
        <v>4.7546688127740024</v>
      </c>
      <c r="AT45" s="17">
        <f t="shared" si="20"/>
        <v>4.8647305908474747</v>
      </c>
      <c r="AU45" s="17">
        <f t="shared" si="20"/>
        <v>4.974792368920947</v>
      </c>
      <c r="AV45" s="17">
        <f t="shared" si="20"/>
        <v>5.0848541469944193</v>
      </c>
      <c r="AW45" s="17">
        <f t="shared" si="17"/>
        <v>5.1949159250678916</v>
      </c>
      <c r="AX45" s="17">
        <f t="shared" si="17"/>
        <v>5.3049777031413639</v>
      </c>
      <c r="AY45" s="17">
        <f t="shared" si="17"/>
        <v>5.4150394812148361</v>
      </c>
      <c r="AZ45" s="17">
        <f t="shared" si="17"/>
        <v>5.5251012592883084</v>
      </c>
      <c r="BA45" s="17">
        <f t="shared" si="17"/>
        <v>5.6351630373617807</v>
      </c>
      <c r="BB45" s="17">
        <f t="shared" si="17"/>
        <v>5.7452248154352539</v>
      </c>
      <c r="BC45" s="17">
        <f t="shared" si="17"/>
        <v>5.8552865935087253</v>
      </c>
      <c r="BD45" s="17">
        <f t="shared" si="17"/>
        <v>5.9653483715821967</v>
      </c>
      <c r="BE45" s="17">
        <f t="shared" si="17"/>
        <v>6.0754101496556698</v>
      </c>
      <c r="BF45" s="17">
        <f t="shared" si="17"/>
        <v>6.1854719277291421</v>
      </c>
      <c r="BG45" s="17">
        <f t="shared" si="17"/>
        <v>6.2955337058026144</v>
      </c>
      <c r="BH45" s="17">
        <f t="shared" si="18"/>
        <v>6.4055954838760867</v>
      </c>
      <c r="BI45" s="17">
        <f t="shared" si="18"/>
        <v>6.5156572619495599</v>
      </c>
      <c r="BJ45" s="17">
        <f t="shared" si="18"/>
        <v>6.6257190400230304</v>
      </c>
    </row>
    <row r="46" spans="1:62" ht="18.75">
      <c r="A46" s="3">
        <v>60</v>
      </c>
      <c r="B46" s="17">
        <f t="shared" si="21"/>
        <v>2.1880208800258351E-2</v>
      </c>
      <c r="C46" s="17">
        <f t="shared" si="21"/>
        <v>0.13128125280155012</v>
      </c>
      <c r="D46" s="17">
        <f t="shared" si="21"/>
        <v>0.24068229680284187</v>
      </c>
      <c r="E46" s="17">
        <f t="shared" si="21"/>
        <v>0.35008334080413361</v>
      </c>
      <c r="F46" s="17">
        <f t="shared" si="21"/>
        <v>0.45948438480542531</v>
      </c>
      <c r="G46" s="17">
        <f t="shared" si="21"/>
        <v>0.56888542880671711</v>
      </c>
      <c r="H46" s="17">
        <f t="shared" si="21"/>
        <v>0.67828647280800891</v>
      </c>
      <c r="I46" s="17">
        <f t="shared" si="21"/>
        <v>0.7876875168093006</v>
      </c>
      <c r="J46" s="17">
        <f t="shared" si="21"/>
        <v>0.89708856081059229</v>
      </c>
      <c r="K46" s="17">
        <f t="shared" si="21"/>
        <v>1.0064896048118843</v>
      </c>
      <c r="L46" s="17">
        <f t="shared" si="21"/>
        <v>1.1158906488131759</v>
      </c>
      <c r="M46" s="17">
        <f t="shared" si="21"/>
        <v>1.2252916928144675</v>
      </c>
      <c r="N46" s="17">
        <f t="shared" si="21"/>
        <v>1.3346927368157595</v>
      </c>
      <c r="O46" s="17">
        <f t="shared" si="21"/>
        <v>1.4440937808170511</v>
      </c>
      <c r="P46" s="17">
        <f t="shared" si="21"/>
        <v>1.5534948248183427</v>
      </c>
      <c r="Q46" s="17">
        <f t="shared" si="21"/>
        <v>1.6628958688196347</v>
      </c>
      <c r="R46" s="17">
        <f t="shared" si="19"/>
        <v>1.7722969128209265</v>
      </c>
      <c r="S46" s="17">
        <f t="shared" si="19"/>
        <v>1.8816979568222179</v>
      </c>
      <c r="T46" s="17">
        <f t="shared" si="19"/>
        <v>1.9910990008235101</v>
      </c>
      <c r="U46" s="17">
        <f t="shared" si="19"/>
        <v>2.1005000448248019</v>
      </c>
      <c r="V46" s="17">
        <f t="shared" si="19"/>
        <v>2.2099010888260935</v>
      </c>
      <c r="W46" s="17">
        <f t="shared" si="19"/>
        <v>2.3193021328273851</v>
      </c>
      <c r="X46" s="17">
        <f t="shared" si="19"/>
        <v>2.4287031768286771</v>
      </c>
      <c r="Y46" s="17">
        <f t="shared" si="19"/>
        <v>2.5381042208299687</v>
      </c>
      <c r="Z46" s="17">
        <f t="shared" si="19"/>
        <v>2.6475052648312607</v>
      </c>
      <c r="AA46" s="17">
        <f t="shared" si="19"/>
        <v>2.7569063088325518</v>
      </c>
      <c r="AB46" s="17">
        <f t="shared" si="19"/>
        <v>2.8663073528338434</v>
      </c>
      <c r="AC46" s="17">
        <f t="shared" si="19"/>
        <v>2.975708396835135</v>
      </c>
      <c r="AD46" s="17">
        <f t="shared" si="19"/>
        <v>3.0851094408364275</v>
      </c>
      <c r="AE46" s="17">
        <f t="shared" si="19"/>
        <v>3.1945104848377195</v>
      </c>
      <c r="AF46" s="17">
        <f t="shared" si="19"/>
        <v>3.3039115288390111</v>
      </c>
      <c r="AG46" s="17">
        <f t="shared" si="20"/>
        <v>3.4133125728403026</v>
      </c>
      <c r="AH46" s="17">
        <f t="shared" si="20"/>
        <v>3.5227136168415942</v>
      </c>
      <c r="AI46" s="17">
        <f t="shared" si="20"/>
        <v>3.6321146608428863</v>
      </c>
      <c r="AJ46" s="17">
        <f t="shared" si="20"/>
        <v>3.7415157048441778</v>
      </c>
      <c r="AK46" s="17">
        <f t="shared" si="20"/>
        <v>3.8509167488454699</v>
      </c>
      <c r="AL46" s="17">
        <f t="shared" si="20"/>
        <v>3.9603177928467614</v>
      </c>
      <c r="AM46" s="17">
        <f t="shared" si="20"/>
        <v>4.069718836848053</v>
      </c>
      <c r="AN46" s="17">
        <f t="shared" si="20"/>
        <v>4.1791198808493455</v>
      </c>
      <c r="AO46" s="17">
        <f t="shared" si="20"/>
        <v>4.2885209248506371</v>
      </c>
      <c r="AP46" s="17">
        <f t="shared" si="20"/>
        <v>4.3979219688519278</v>
      </c>
      <c r="AQ46" s="17">
        <f t="shared" si="20"/>
        <v>4.5073230128532202</v>
      </c>
      <c r="AR46" s="17">
        <f t="shared" si="20"/>
        <v>4.6167240568545118</v>
      </c>
      <c r="AS46" s="17">
        <f t="shared" si="20"/>
        <v>4.7261251008558043</v>
      </c>
      <c r="AT46" s="17">
        <f t="shared" si="20"/>
        <v>4.8355261448570959</v>
      </c>
      <c r="AU46" s="17">
        <f t="shared" si="20"/>
        <v>4.9449271888583866</v>
      </c>
      <c r="AV46" s="17">
        <f t="shared" si="20"/>
        <v>5.054328232859679</v>
      </c>
      <c r="AW46" s="17">
        <f t="shared" si="17"/>
        <v>5.1637292768609706</v>
      </c>
      <c r="AX46" s="17">
        <f t="shared" si="17"/>
        <v>5.2731303208622631</v>
      </c>
      <c r="AY46" s="17">
        <f t="shared" si="17"/>
        <v>5.3825313648635538</v>
      </c>
      <c r="AZ46" s="17">
        <f t="shared" si="17"/>
        <v>5.4919324088648453</v>
      </c>
      <c r="BA46" s="17">
        <f t="shared" si="17"/>
        <v>5.6013334528661378</v>
      </c>
      <c r="BB46" s="17">
        <f t="shared" si="17"/>
        <v>5.7107344968674303</v>
      </c>
      <c r="BC46" s="17">
        <f t="shared" si="17"/>
        <v>5.8201355408687219</v>
      </c>
      <c r="BD46" s="17">
        <f t="shared" si="17"/>
        <v>5.9295365848700117</v>
      </c>
      <c r="BE46" s="17">
        <f t="shared" si="17"/>
        <v>6.0389376288713041</v>
      </c>
      <c r="BF46" s="17">
        <f t="shared" si="17"/>
        <v>6.1483386728725966</v>
      </c>
      <c r="BG46" s="17">
        <f t="shared" si="17"/>
        <v>6.2577397168738882</v>
      </c>
      <c r="BH46" s="17">
        <f t="shared" si="18"/>
        <v>6.3671407608751798</v>
      </c>
      <c r="BI46" s="17">
        <f t="shared" si="18"/>
        <v>6.4765418048764722</v>
      </c>
      <c r="BJ46" s="17">
        <f t="shared" si="18"/>
        <v>6.5859428488777638</v>
      </c>
    </row>
  </sheetData>
  <phoneticPr fontId="1" type="noConversion"/>
  <pageMargins left="0.75" right="0.75" top="1" bottom="1" header="0.5" footer="0.5"/>
  <headerFooter alignWithMargin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J46"/>
  <sheetViews>
    <sheetView workbookViewId="0">
      <pane xSplit="1" ySplit="5" topLeftCell="AH15" activePane="bottomRight" state="frozen"/>
      <selection pane="topRight" activeCell="B1" sqref="B1"/>
      <selection pane="bottomLeft" activeCell="A6" sqref="A6"/>
      <selection pane="bottomRight" activeCell="B7" sqref="B7"/>
    </sheetView>
  </sheetViews>
  <sheetFormatPr defaultRowHeight="15"/>
  <cols>
    <col min="1" max="1" width="29.28515625" customWidth="1"/>
    <col min="2" max="62" width="12" bestFit="1" customWidth="1"/>
  </cols>
  <sheetData>
    <row r="1" spans="1:62" ht="18.75">
      <c r="A1" s="6" t="s">
        <v>0</v>
      </c>
      <c r="B1" s="5">
        <v>26</v>
      </c>
      <c r="C1" s="6" t="s">
        <v>3</v>
      </c>
    </row>
    <row r="2" spans="1:62" ht="18.75">
      <c r="A2" s="6" t="s">
        <v>1</v>
      </c>
      <c r="B2" s="5">
        <v>0.78</v>
      </c>
      <c r="C2" s="6" t="s">
        <v>4</v>
      </c>
    </row>
    <row r="4" spans="1:62" s="8" customFormat="1"/>
    <row r="5" spans="1:62" ht="18.75">
      <c r="A5" s="7" t="s">
        <v>2</v>
      </c>
      <c r="B5" s="24">
        <v>0</v>
      </c>
      <c r="C5" s="16">
        <v>5</v>
      </c>
      <c r="D5" s="9">
        <v>10</v>
      </c>
      <c r="E5" s="9">
        <v>15</v>
      </c>
      <c r="F5" s="9">
        <v>20</v>
      </c>
      <c r="G5" s="9">
        <v>25</v>
      </c>
      <c r="H5" s="9">
        <v>30</v>
      </c>
      <c r="I5" s="9">
        <v>35</v>
      </c>
      <c r="J5" s="9">
        <v>40</v>
      </c>
      <c r="K5" s="9">
        <v>45</v>
      </c>
      <c r="L5" s="9">
        <v>50</v>
      </c>
      <c r="M5" s="9">
        <v>55</v>
      </c>
      <c r="N5" s="9">
        <v>60</v>
      </c>
      <c r="O5" s="9">
        <v>65</v>
      </c>
      <c r="P5" s="9">
        <v>70</v>
      </c>
      <c r="Q5" s="9">
        <v>75</v>
      </c>
      <c r="R5" s="9">
        <v>80</v>
      </c>
      <c r="S5" s="9">
        <v>85</v>
      </c>
      <c r="T5" s="9">
        <v>90</v>
      </c>
      <c r="U5" s="9">
        <v>95</v>
      </c>
      <c r="V5" s="9">
        <v>100</v>
      </c>
      <c r="W5" s="9">
        <v>105</v>
      </c>
      <c r="X5" s="9">
        <v>110</v>
      </c>
      <c r="Y5" s="9">
        <v>115</v>
      </c>
      <c r="Z5" s="9">
        <v>120</v>
      </c>
      <c r="AA5" s="9">
        <v>125</v>
      </c>
      <c r="AB5" s="9">
        <v>130</v>
      </c>
      <c r="AC5" s="9">
        <v>135</v>
      </c>
      <c r="AD5" s="9">
        <v>140</v>
      </c>
      <c r="AE5" s="9">
        <v>145</v>
      </c>
      <c r="AF5" s="9">
        <v>150</v>
      </c>
      <c r="AG5" s="9">
        <v>155</v>
      </c>
      <c r="AH5" s="9">
        <v>160</v>
      </c>
      <c r="AI5" s="9">
        <v>165</v>
      </c>
      <c r="AJ5" s="9">
        <v>170</v>
      </c>
      <c r="AK5" s="9">
        <v>175</v>
      </c>
      <c r="AL5" s="15">
        <v>180</v>
      </c>
      <c r="AM5" s="15">
        <v>185</v>
      </c>
      <c r="AN5" s="15">
        <v>190</v>
      </c>
      <c r="AO5" s="15">
        <v>195</v>
      </c>
      <c r="AP5" s="15">
        <v>200</v>
      </c>
      <c r="AQ5" s="15">
        <v>205</v>
      </c>
      <c r="AR5" s="15">
        <v>210</v>
      </c>
      <c r="AS5" s="12">
        <v>215</v>
      </c>
      <c r="AT5" s="12">
        <v>220</v>
      </c>
      <c r="AU5" s="13">
        <v>225</v>
      </c>
      <c r="AV5" s="13">
        <v>230</v>
      </c>
      <c r="AW5" s="13">
        <v>235</v>
      </c>
      <c r="AX5" s="13">
        <v>240</v>
      </c>
      <c r="AY5" s="14">
        <v>245</v>
      </c>
      <c r="AZ5" s="13">
        <v>250</v>
      </c>
      <c r="BA5" s="10">
        <v>255</v>
      </c>
      <c r="BB5" s="11">
        <v>260</v>
      </c>
      <c r="BC5" s="11">
        <v>265</v>
      </c>
      <c r="BD5" s="11">
        <v>270</v>
      </c>
      <c r="BE5" s="11">
        <v>275</v>
      </c>
      <c r="BF5" s="11">
        <v>280</v>
      </c>
      <c r="BG5" s="11">
        <v>285</v>
      </c>
      <c r="BH5" s="11">
        <v>290</v>
      </c>
      <c r="BI5" s="11">
        <v>295</v>
      </c>
      <c r="BJ5" s="11">
        <v>300</v>
      </c>
    </row>
    <row r="6" spans="1:62" ht="19.5" thickBot="1">
      <c r="A6" s="4">
        <v>-20</v>
      </c>
      <c r="B6" s="25">
        <f>($B$1/1000)*((B$5+1)/1.01325)*(273.15/(273.15+$A6))*$B$2</f>
        <v>2.1596064275546323E-2</v>
      </c>
      <c r="C6" s="17">
        <f t="shared" ref="C6:BJ10" si="0">($B$1/1000)*((C$5+1)/1.01325)*(273.15/(273.15+$A6))*$B$2</f>
        <v>0.12957638565327795</v>
      </c>
      <c r="D6" s="17">
        <f t="shared" si="0"/>
        <v>0.23755670703100956</v>
      </c>
      <c r="E6" s="17">
        <f t="shared" si="0"/>
        <v>0.34553702840874118</v>
      </c>
      <c r="F6" s="17">
        <f t="shared" si="0"/>
        <v>0.45351734978647273</v>
      </c>
      <c r="G6" s="17">
        <f t="shared" si="0"/>
        <v>0.56149767116420446</v>
      </c>
      <c r="H6" s="17">
        <f t="shared" si="0"/>
        <v>0.66947799254193607</v>
      </c>
      <c r="I6" s="17">
        <f t="shared" si="0"/>
        <v>0.77745831391966769</v>
      </c>
      <c r="J6" s="17">
        <f t="shared" si="0"/>
        <v>0.88543863529739919</v>
      </c>
      <c r="K6" s="17">
        <f t="shared" si="0"/>
        <v>0.99341895667513092</v>
      </c>
      <c r="L6" s="17">
        <f t="shared" si="0"/>
        <v>1.1013992780528625</v>
      </c>
      <c r="M6" s="17">
        <f t="shared" si="0"/>
        <v>1.209379599430594</v>
      </c>
      <c r="N6" s="17">
        <f t="shared" si="0"/>
        <v>1.3173599208083258</v>
      </c>
      <c r="O6" s="17">
        <f t="shared" si="0"/>
        <v>1.4253402421860573</v>
      </c>
      <c r="P6" s="17">
        <f t="shared" si="0"/>
        <v>1.533320563563789</v>
      </c>
      <c r="Q6" s="17">
        <f t="shared" si="0"/>
        <v>1.6413008849415209</v>
      </c>
      <c r="R6" s="17">
        <f t="shared" si="0"/>
        <v>1.7492812063192524</v>
      </c>
      <c r="S6" s="17">
        <f t="shared" si="0"/>
        <v>1.8572615276969835</v>
      </c>
      <c r="T6" s="17">
        <f t="shared" si="0"/>
        <v>1.9652418490747157</v>
      </c>
      <c r="U6" s="17">
        <f t="shared" si="0"/>
        <v>2.0732221704524472</v>
      </c>
      <c r="V6" s="17">
        <f t="shared" si="0"/>
        <v>2.1812024918301787</v>
      </c>
      <c r="W6" s="17">
        <f t="shared" si="0"/>
        <v>2.2891828132079102</v>
      </c>
      <c r="X6" s="17">
        <f t="shared" si="0"/>
        <v>2.3971631345856417</v>
      </c>
      <c r="Y6" s="17">
        <f t="shared" si="0"/>
        <v>2.5051434559633736</v>
      </c>
      <c r="Z6" s="17">
        <f t="shared" si="0"/>
        <v>2.6131237773411051</v>
      </c>
      <c r="AA6" s="17">
        <f t="shared" si="0"/>
        <v>2.7211040987188366</v>
      </c>
      <c r="AB6" s="17">
        <f t="shared" si="0"/>
        <v>2.8290844200965681</v>
      </c>
      <c r="AC6" s="17">
        <f t="shared" si="0"/>
        <v>2.9370647414742996</v>
      </c>
      <c r="AD6" s="17">
        <f t="shared" si="0"/>
        <v>3.0450450628520316</v>
      </c>
      <c r="AE6" s="17">
        <f t="shared" si="0"/>
        <v>3.1530253842297631</v>
      </c>
      <c r="AF6" s="17">
        <f t="shared" si="0"/>
        <v>3.261005705607495</v>
      </c>
      <c r="AG6" s="17">
        <f t="shared" si="0"/>
        <v>3.3689860269852265</v>
      </c>
      <c r="AH6" s="17">
        <f t="shared" si="0"/>
        <v>3.4769663483629585</v>
      </c>
      <c r="AI6" s="17">
        <f t="shared" si="0"/>
        <v>3.5849466697406895</v>
      </c>
      <c r="AJ6" s="17">
        <f t="shared" si="0"/>
        <v>3.6929269911184215</v>
      </c>
      <c r="AK6" s="17">
        <f t="shared" si="0"/>
        <v>3.800907312496153</v>
      </c>
      <c r="AL6" s="17">
        <f t="shared" si="0"/>
        <v>3.9088876338738849</v>
      </c>
      <c r="AM6" s="17">
        <f t="shared" si="0"/>
        <v>4.016867955251616</v>
      </c>
      <c r="AN6" s="17">
        <f t="shared" si="0"/>
        <v>4.1248482766293479</v>
      </c>
      <c r="AO6" s="17">
        <f t="shared" si="0"/>
        <v>4.2328285980070799</v>
      </c>
      <c r="AP6" s="17">
        <f t="shared" si="0"/>
        <v>4.3408089193848118</v>
      </c>
      <c r="AQ6" s="17">
        <f t="shared" si="0"/>
        <v>4.4487892407625429</v>
      </c>
      <c r="AR6" s="17">
        <f t="shared" si="0"/>
        <v>4.5567695621402748</v>
      </c>
      <c r="AS6" s="17">
        <f t="shared" si="0"/>
        <v>4.6647498835180059</v>
      </c>
      <c r="AT6" s="17">
        <f t="shared" si="0"/>
        <v>4.7727302048957378</v>
      </c>
      <c r="AU6" s="17">
        <f t="shared" si="0"/>
        <v>4.8807105262734689</v>
      </c>
      <c r="AV6" s="17">
        <f t="shared" si="0"/>
        <v>4.9886908476512009</v>
      </c>
      <c r="AW6" s="17">
        <f t="shared" si="0"/>
        <v>5.0966711690289328</v>
      </c>
      <c r="AX6" s="17">
        <f t="shared" si="0"/>
        <v>5.2046514904066639</v>
      </c>
      <c r="AY6" s="17">
        <f t="shared" si="0"/>
        <v>5.3126318117843958</v>
      </c>
      <c r="AZ6" s="17">
        <f t="shared" si="0"/>
        <v>5.4206121331621269</v>
      </c>
      <c r="BA6" s="17">
        <f t="shared" si="0"/>
        <v>5.5285924545398588</v>
      </c>
      <c r="BB6" s="17">
        <f t="shared" si="0"/>
        <v>5.6365727759175916</v>
      </c>
      <c r="BC6" s="17">
        <f t="shared" si="0"/>
        <v>5.7445530972953218</v>
      </c>
      <c r="BD6" s="17">
        <f t="shared" si="0"/>
        <v>5.8525334186730529</v>
      </c>
      <c r="BE6" s="17">
        <f t="shared" si="0"/>
        <v>5.9605137400507857</v>
      </c>
      <c r="BF6" s="17">
        <f t="shared" si="0"/>
        <v>6.0684940614285168</v>
      </c>
      <c r="BG6" s="17">
        <f t="shared" si="0"/>
        <v>6.1764743828062487</v>
      </c>
      <c r="BH6" s="17">
        <f t="shared" si="0"/>
        <v>6.2844547041839798</v>
      </c>
      <c r="BI6" s="17">
        <f t="shared" si="0"/>
        <v>6.3924350255617126</v>
      </c>
      <c r="BJ6" s="17">
        <f t="shared" si="0"/>
        <v>6.5004153469394437</v>
      </c>
    </row>
    <row r="7" spans="1:62" ht="19.5" thickBot="1">
      <c r="A7" s="4">
        <v>-18</v>
      </c>
      <c r="B7" s="18">
        <f t="shared" ref="B7:B46" si="1">($B$1/1000)*((B$5+1)/1.01325)*(273.15/(273.15+$A7))*$B$2</f>
        <v>2.1426782956514019E-2</v>
      </c>
      <c r="C7" s="17">
        <f t="shared" ref="C7:Q7" si="2">($B$1/1000)*((C$5+1)/1.01325)*(273.15/(273.15+$A7))*$B$2</f>
        <v>0.12856069773908413</v>
      </c>
      <c r="D7" s="17">
        <f t="shared" si="2"/>
        <v>0.23569461252165422</v>
      </c>
      <c r="E7" s="17">
        <f t="shared" si="2"/>
        <v>0.34282852730422431</v>
      </c>
      <c r="F7" s="17">
        <f t="shared" si="2"/>
        <v>0.44996244208679437</v>
      </c>
      <c r="G7" s="17">
        <f t="shared" si="2"/>
        <v>0.55709635686936454</v>
      </c>
      <c r="H7" s="17">
        <f t="shared" si="2"/>
        <v>0.66423027165193471</v>
      </c>
      <c r="I7" s="17">
        <f t="shared" si="2"/>
        <v>0.77136418643450477</v>
      </c>
      <c r="J7" s="17">
        <f t="shared" si="2"/>
        <v>0.87849810121707472</v>
      </c>
      <c r="K7" s="17">
        <f t="shared" si="2"/>
        <v>0.98563201599964512</v>
      </c>
      <c r="L7" s="17">
        <f t="shared" si="2"/>
        <v>1.0927659307822151</v>
      </c>
      <c r="M7" s="17">
        <f t="shared" si="2"/>
        <v>1.1998998455647851</v>
      </c>
      <c r="N7" s="17">
        <f t="shared" si="2"/>
        <v>1.3070337603473552</v>
      </c>
      <c r="O7" s="17">
        <f t="shared" si="2"/>
        <v>1.4141676751299253</v>
      </c>
      <c r="P7" s="17">
        <f t="shared" si="2"/>
        <v>1.5213015899124953</v>
      </c>
      <c r="Q7" s="17">
        <f t="shared" si="2"/>
        <v>1.6284355046950656</v>
      </c>
      <c r="R7" s="17">
        <f t="shared" si="0"/>
        <v>1.7355694194776357</v>
      </c>
      <c r="S7" s="17">
        <f t="shared" si="0"/>
        <v>1.8427033342602053</v>
      </c>
      <c r="T7" s="17">
        <f t="shared" si="0"/>
        <v>1.949837249042776</v>
      </c>
      <c r="U7" s="17">
        <f t="shared" si="0"/>
        <v>2.0569711638253461</v>
      </c>
      <c r="V7" s="17">
        <f t="shared" si="0"/>
        <v>2.1641050786079159</v>
      </c>
      <c r="W7" s="17">
        <f t="shared" si="0"/>
        <v>2.2712389933904862</v>
      </c>
      <c r="X7" s="17">
        <f t="shared" si="0"/>
        <v>2.3783729081730565</v>
      </c>
      <c r="Y7" s="17">
        <f t="shared" si="0"/>
        <v>2.4855068229556263</v>
      </c>
      <c r="Z7" s="17">
        <f t="shared" si="0"/>
        <v>2.5926407377381961</v>
      </c>
      <c r="AA7" s="17">
        <f t="shared" si="0"/>
        <v>2.6997746525207669</v>
      </c>
      <c r="AB7" s="17">
        <f t="shared" si="0"/>
        <v>2.8069085673033363</v>
      </c>
      <c r="AC7" s="17">
        <f t="shared" si="0"/>
        <v>2.9140424820859065</v>
      </c>
      <c r="AD7" s="17">
        <f t="shared" si="0"/>
        <v>3.0211763968684768</v>
      </c>
      <c r="AE7" s="17">
        <f t="shared" si="0"/>
        <v>3.1283103116510467</v>
      </c>
      <c r="AF7" s="17">
        <f t="shared" si="0"/>
        <v>3.2354442264336165</v>
      </c>
      <c r="AG7" s="17">
        <f t="shared" si="0"/>
        <v>3.3425781412161872</v>
      </c>
      <c r="AH7" s="17">
        <f t="shared" si="0"/>
        <v>3.4497120559987575</v>
      </c>
      <c r="AI7" s="17">
        <f t="shared" si="0"/>
        <v>3.5568459707813274</v>
      </c>
      <c r="AJ7" s="17">
        <f t="shared" si="0"/>
        <v>3.6639798855638972</v>
      </c>
      <c r="AK7" s="17">
        <f t="shared" si="0"/>
        <v>3.7711138003464675</v>
      </c>
      <c r="AL7" s="17">
        <f t="shared" si="0"/>
        <v>3.8782477151290373</v>
      </c>
      <c r="AM7" s="17">
        <f t="shared" si="0"/>
        <v>3.9853816299116076</v>
      </c>
      <c r="AN7" s="17">
        <f t="shared" si="0"/>
        <v>4.0925155446941783</v>
      </c>
      <c r="AO7" s="17">
        <f t="shared" si="0"/>
        <v>4.1996494594767482</v>
      </c>
      <c r="AP7" s="17">
        <f t="shared" si="0"/>
        <v>4.306783374259318</v>
      </c>
      <c r="AQ7" s="17">
        <f t="shared" si="0"/>
        <v>4.4139172890418878</v>
      </c>
      <c r="AR7" s="17">
        <f t="shared" si="0"/>
        <v>4.5210512038244577</v>
      </c>
      <c r="AS7" s="17">
        <f t="shared" si="0"/>
        <v>4.6281851186070284</v>
      </c>
      <c r="AT7" s="17">
        <f t="shared" si="0"/>
        <v>4.7353190333895983</v>
      </c>
      <c r="AU7" s="17">
        <f t="shared" si="0"/>
        <v>4.8424529481721681</v>
      </c>
      <c r="AV7" s="17">
        <f t="shared" si="0"/>
        <v>4.9495868629547388</v>
      </c>
      <c r="AW7" s="17">
        <f t="shared" si="0"/>
        <v>5.0567207777373087</v>
      </c>
      <c r="AX7" s="17">
        <f t="shared" si="0"/>
        <v>5.1638546925198785</v>
      </c>
      <c r="AY7" s="17">
        <f t="shared" si="0"/>
        <v>5.2709886073024492</v>
      </c>
      <c r="AZ7" s="17">
        <f t="shared" si="0"/>
        <v>5.3781225220850191</v>
      </c>
      <c r="BA7" s="17">
        <f t="shared" si="0"/>
        <v>5.4852564368675889</v>
      </c>
      <c r="BB7" s="17">
        <f t="shared" si="0"/>
        <v>5.5923903516501596</v>
      </c>
      <c r="BC7" s="17">
        <f t="shared" si="0"/>
        <v>5.6995242664327295</v>
      </c>
      <c r="BD7" s="17">
        <f t="shared" si="0"/>
        <v>5.8066581812152984</v>
      </c>
      <c r="BE7" s="17">
        <f t="shared" si="0"/>
        <v>5.9137920959978691</v>
      </c>
      <c r="BF7" s="17">
        <f t="shared" si="0"/>
        <v>6.0209260107804399</v>
      </c>
      <c r="BG7" s="17">
        <f t="shared" si="0"/>
        <v>6.1280599255630097</v>
      </c>
      <c r="BH7" s="17">
        <f t="shared" si="0"/>
        <v>6.2351938403455796</v>
      </c>
      <c r="BI7" s="17">
        <f t="shared" si="0"/>
        <v>6.3423277551281503</v>
      </c>
      <c r="BJ7" s="17">
        <f t="shared" si="0"/>
        <v>6.4494616699107192</v>
      </c>
    </row>
    <row r="8" spans="1:62" ht="18.75">
      <c r="A8" s="4">
        <v>-16</v>
      </c>
      <c r="B8" s="17">
        <f t="shared" si="1"/>
        <v>2.1260134829300222E-2</v>
      </c>
      <c r="C8" s="17">
        <f t="shared" si="0"/>
        <v>0.12756080897580133</v>
      </c>
      <c r="D8" s="17">
        <f t="shared" si="0"/>
        <v>0.23386148312230243</v>
      </c>
      <c r="E8" s="17">
        <f t="shared" si="0"/>
        <v>0.34016215726880356</v>
      </c>
      <c r="F8" s="17">
        <f t="shared" si="0"/>
        <v>0.44646283141530457</v>
      </c>
      <c r="G8" s="17">
        <f t="shared" si="0"/>
        <v>0.55276350556180576</v>
      </c>
      <c r="H8" s="17">
        <f t="shared" si="0"/>
        <v>0.65906417970830689</v>
      </c>
      <c r="I8" s="17">
        <f t="shared" si="0"/>
        <v>0.7653648538548079</v>
      </c>
      <c r="J8" s="17">
        <f t="shared" si="0"/>
        <v>0.87166552800130903</v>
      </c>
      <c r="K8" s="17">
        <f t="shared" si="0"/>
        <v>0.97796620214781027</v>
      </c>
      <c r="L8" s="17">
        <f t="shared" si="0"/>
        <v>1.0842668762943113</v>
      </c>
      <c r="M8" s="17">
        <f t="shared" si="0"/>
        <v>1.1905675504408122</v>
      </c>
      <c r="N8" s="17">
        <f t="shared" si="0"/>
        <v>1.2968682245873135</v>
      </c>
      <c r="O8" s="17">
        <f t="shared" si="0"/>
        <v>1.4031688987338145</v>
      </c>
      <c r="P8" s="17">
        <f t="shared" si="0"/>
        <v>1.5094695728803156</v>
      </c>
      <c r="Q8" s="17">
        <f t="shared" si="0"/>
        <v>1.6157702470268167</v>
      </c>
      <c r="R8" s="17">
        <f t="shared" si="0"/>
        <v>1.7220709211733181</v>
      </c>
      <c r="S8" s="17">
        <f t="shared" si="0"/>
        <v>1.8283715953198187</v>
      </c>
      <c r="T8" s="17">
        <f t="shared" si="0"/>
        <v>1.9346722694663201</v>
      </c>
      <c r="U8" s="17">
        <f t="shared" si="0"/>
        <v>2.0409729436128212</v>
      </c>
      <c r="V8" s="17">
        <f t="shared" si="0"/>
        <v>2.1472736177593226</v>
      </c>
      <c r="W8" s="17">
        <f t="shared" si="0"/>
        <v>2.2535742919058235</v>
      </c>
      <c r="X8" s="17">
        <f t="shared" si="0"/>
        <v>2.3598749660523244</v>
      </c>
      <c r="Y8" s="17">
        <f t="shared" si="0"/>
        <v>2.4661756401988257</v>
      </c>
      <c r="Z8" s="17">
        <f t="shared" si="0"/>
        <v>2.5724763143453266</v>
      </c>
      <c r="AA8" s="17">
        <f t="shared" si="0"/>
        <v>2.6787769884918275</v>
      </c>
      <c r="AB8" s="17">
        <f t="shared" si="0"/>
        <v>2.7850776626383285</v>
      </c>
      <c r="AC8" s="17">
        <f t="shared" si="0"/>
        <v>2.8913783367848294</v>
      </c>
      <c r="AD8" s="17">
        <f t="shared" si="0"/>
        <v>2.9976790109313312</v>
      </c>
      <c r="AE8" s="17">
        <f t="shared" si="0"/>
        <v>3.1039796850778321</v>
      </c>
      <c r="AF8" s="17">
        <f t="shared" si="0"/>
        <v>3.210280359224333</v>
      </c>
      <c r="AG8" s="17">
        <f t="shared" si="0"/>
        <v>3.3165810333708348</v>
      </c>
      <c r="AH8" s="17">
        <f t="shared" si="0"/>
        <v>3.4228817075173357</v>
      </c>
      <c r="AI8" s="17">
        <f t="shared" si="0"/>
        <v>3.5291823816638361</v>
      </c>
      <c r="AJ8" s="17">
        <f t="shared" si="0"/>
        <v>3.6354830558103379</v>
      </c>
      <c r="AK8" s="17">
        <f t="shared" si="0"/>
        <v>3.7417837299568388</v>
      </c>
      <c r="AL8" s="17">
        <f t="shared" si="0"/>
        <v>3.8480844041033397</v>
      </c>
      <c r="AM8" s="17">
        <f t="shared" si="0"/>
        <v>3.9543850782498411</v>
      </c>
      <c r="AN8" s="17">
        <f t="shared" si="0"/>
        <v>4.060685752396342</v>
      </c>
      <c r="AO8" s="17">
        <f t="shared" si="0"/>
        <v>4.1669864265428425</v>
      </c>
      <c r="AP8" s="17">
        <f t="shared" si="0"/>
        <v>4.2732871006893447</v>
      </c>
      <c r="AQ8" s="17">
        <f t="shared" si="0"/>
        <v>4.3795877748358452</v>
      </c>
      <c r="AR8" s="17">
        <f t="shared" si="0"/>
        <v>4.4858884489823465</v>
      </c>
      <c r="AS8" s="17">
        <f t="shared" si="0"/>
        <v>4.5921891231288479</v>
      </c>
      <c r="AT8" s="17">
        <f t="shared" si="0"/>
        <v>4.6984897972753483</v>
      </c>
      <c r="AU8" s="17">
        <f t="shared" si="0"/>
        <v>4.8047904714218497</v>
      </c>
      <c r="AV8" s="17">
        <f t="shared" si="0"/>
        <v>4.911091145568351</v>
      </c>
      <c r="AW8" s="17">
        <f t="shared" si="0"/>
        <v>5.0173918197148515</v>
      </c>
      <c r="AX8" s="17">
        <f t="shared" si="0"/>
        <v>5.1236924938613537</v>
      </c>
      <c r="AY8" s="17">
        <f t="shared" si="0"/>
        <v>5.2299931680078542</v>
      </c>
      <c r="AZ8" s="17">
        <f t="shared" si="0"/>
        <v>5.3362938421543546</v>
      </c>
      <c r="BA8" s="17">
        <f t="shared" si="0"/>
        <v>5.4425945163008569</v>
      </c>
      <c r="BB8" s="17">
        <f t="shared" si="0"/>
        <v>5.5488951904473582</v>
      </c>
      <c r="BC8" s="17">
        <f t="shared" si="0"/>
        <v>5.6551958645938587</v>
      </c>
      <c r="BD8" s="17">
        <f t="shared" si="0"/>
        <v>5.7614965387403592</v>
      </c>
      <c r="BE8" s="17">
        <f t="shared" si="0"/>
        <v>5.8677972128868605</v>
      </c>
      <c r="BF8" s="17">
        <f t="shared" si="0"/>
        <v>5.9740978870333619</v>
      </c>
      <c r="BG8" s="17">
        <f t="shared" si="0"/>
        <v>6.0803985611798632</v>
      </c>
      <c r="BH8" s="17">
        <f t="shared" si="0"/>
        <v>6.1866992353263637</v>
      </c>
      <c r="BI8" s="17">
        <f t="shared" si="0"/>
        <v>6.2929999094728659</v>
      </c>
      <c r="BJ8" s="17">
        <f t="shared" si="0"/>
        <v>6.3993005836193655</v>
      </c>
    </row>
    <row r="9" spans="1:62" ht="18.75">
      <c r="A9" s="4">
        <v>-14</v>
      </c>
      <c r="B9" s="17">
        <f t="shared" si="1"/>
        <v>2.1096058928630337E-2</v>
      </c>
      <c r="C9" s="17">
        <f t="shared" si="0"/>
        <v>0.12657635357178204</v>
      </c>
      <c r="D9" s="17">
        <f t="shared" si="0"/>
        <v>0.23205664821493371</v>
      </c>
      <c r="E9" s="17">
        <f t="shared" si="0"/>
        <v>0.33753694285808539</v>
      </c>
      <c r="F9" s="17">
        <f t="shared" si="0"/>
        <v>0.44301723750123706</v>
      </c>
      <c r="G9" s="17">
        <f t="shared" si="0"/>
        <v>0.54849753214438879</v>
      </c>
      <c r="H9" s="17">
        <f t="shared" si="0"/>
        <v>0.65397782678754046</v>
      </c>
      <c r="I9" s="17">
        <f t="shared" si="0"/>
        <v>0.75945812143069213</v>
      </c>
      <c r="J9" s="17">
        <f t="shared" si="0"/>
        <v>0.8649384160738437</v>
      </c>
      <c r="K9" s="17">
        <f t="shared" si="0"/>
        <v>0.97041871071699559</v>
      </c>
      <c r="L9" s="17">
        <f t="shared" si="0"/>
        <v>1.0758990053601472</v>
      </c>
      <c r="M9" s="17">
        <f t="shared" si="0"/>
        <v>1.1813793000032986</v>
      </c>
      <c r="N9" s="17">
        <f t="shared" si="0"/>
        <v>1.2868595946464507</v>
      </c>
      <c r="O9" s="17">
        <f t="shared" si="0"/>
        <v>1.3923398892896022</v>
      </c>
      <c r="P9" s="17">
        <f t="shared" si="0"/>
        <v>1.4978201839327538</v>
      </c>
      <c r="Q9" s="17">
        <f t="shared" si="0"/>
        <v>1.6033004785759057</v>
      </c>
      <c r="R9" s="17">
        <f t="shared" si="0"/>
        <v>1.7087807732190574</v>
      </c>
      <c r="S9" s="17">
        <f t="shared" si="0"/>
        <v>1.8142610678622089</v>
      </c>
      <c r="T9" s="17">
        <f t="shared" si="0"/>
        <v>1.9197413625053605</v>
      </c>
      <c r="U9" s="17">
        <f t="shared" si="0"/>
        <v>2.0252216571485127</v>
      </c>
      <c r="V9" s="17">
        <f t="shared" si="0"/>
        <v>2.1307019517916639</v>
      </c>
      <c r="W9" s="17">
        <f t="shared" si="0"/>
        <v>2.2361822464348156</v>
      </c>
      <c r="X9" s="17">
        <f t="shared" si="0"/>
        <v>2.3416625410779677</v>
      </c>
      <c r="Y9" s="17">
        <f t="shared" si="0"/>
        <v>2.4471428357211189</v>
      </c>
      <c r="Z9" s="17">
        <f t="shared" si="0"/>
        <v>2.552623130364271</v>
      </c>
      <c r="AA9" s="17">
        <f t="shared" si="0"/>
        <v>2.6581034250074222</v>
      </c>
      <c r="AB9" s="17">
        <f t="shared" si="0"/>
        <v>2.7635837196505739</v>
      </c>
      <c r="AC9" s="17">
        <f t="shared" si="0"/>
        <v>2.8690640142937252</v>
      </c>
      <c r="AD9" s="17">
        <f t="shared" si="0"/>
        <v>2.9745443089368777</v>
      </c>
      <c r="AE9" s="17">
        <f t="shared" si="0"/>
        <v>3.0800246035800294</v>
      </c>
      <c r="AF9" s="17">
        <f t="shared" si="0"/>
        <v>3.1855048982231806</v>
      </c>
      <c r="AG9" s="17">
        <f t="shared" si="0"/>
        <v>3.2909851928663323</v>
      </c>
      <c r="AH9" s="17">
        <f t="shared" si="0"/>
        <v>3.3964654875094844</v>
      </c>
      <c r="AI9" s="17">
        <f t="shared" si="0"/>
        <v>3.5019457821526361</v>
      </c>
      <c r="AJ9" s="17">
        <f t="shared" si="0"/>
        <v>3.6074260767957873</v>
      </c>
      <c r="AK9" s="17">
        <f t="shared" si="0"/>
        <v>3.7129063714389394</v>
      </c>
      <c r="AL9" s="17">
        <f t="shared" si="0"/>
        <v>3.8183866660820911</v>
      </c>
      <c r="AM9" s="17">
        <f t="shared" si="0"/>
        <v>3.9238669607252428</v>
      </c>
      <c r="AN9" s="17">
        <f t="shared" si="0"/>
        <v>4.0293472553683944</v>
      </c>
      <c r="AO9" s="17">
        <f t="shared" si="0"/>
        <v>4.1348275500115461</v>
      </c>
      <c r="AP9" s="17">
        <f t="shared" si="0"/>
        <v>4.2403078446546978</v>
      </c>
      <c r="AQ9" s="17">
        <f t="shared" si="0"/>
        <v>4.3457881392978495</v>
      </c>
      <c r="AR9" s="17">
        <f t="shared" si="0"/>
        <v>4.4512684339410011</v>
      </c>
      <c r="AS9" s="17">
        <f t="shared" si="0"/>
        <v>4.5567487285841528</v>
      </c>
      <c r="AT9" s="17">
        <f t="shared" si="0"/>
        <v>4.6622290232273045</v>
      </c>
      <c r="AU9" s="17">
        <f t="shared" si="0"/>
        <v>4.7677093178704562</v>
      </c>
      <c r="AV9" s="17">
        <f t="shared" si="0"/>
        <v>4.8731896125136078</v>
      </c>
      <c r="AW9" s="17">
        <f t="shared" si="0"/>
        <v>4.9786699071567595</v>
      </c>
      <c r="AX9" s="17">
        <f t="shared" si="0"/>
        <v>5.0841502017999112</v>
      </c>
      <c r="AY9" s="17">
        <f t="shared" si="0"/>
        <v>5.1896304964430628</v>
      </c>
      <c r="AZ9" s="17">
        <f t="shared" si="0"/>
        <v>5.2951107910862145</v>
      </c>
      <c r="BA9" s="17">
        <f t="shared" si="0"/>
        <v>5.4005910857293662</v>
      </c>
      <c r="BB9" s="17">
        <f t="shared" si="0"/>
        <v>5.5060713803725179</v>
      </c>
      <c r="BC9" s="17">
        <f t="shared" si="0"/>
        <v>5.6115516750156695</v>
      </c>
      <c r="BD9" s="17">
        <f t="shared" si="0"/>
        <v>5.7170319696588203</v>
      </c>
      <c r="BE9" s="17">
        <f t="shared" si="0"/>
        <v>5.8225122643019729</v>
      </c>
      <c r="BF9" s="17">
        <f t="shared" si="0"/>
        <v>5.9279925589451246</v>
      </c>
      <c r="BG9" s="17">
        <f t="shared" si="0"/>
        <v>6.0334728535882762</v>
      </c>
      <c r="BH9" s="17">
        <f t="shared" si="0"/>
        <v>6.1389531482314279</v>
      </c>
      <c r="BI9" s="17">
        <f t="shared" si="0"/>
        <v>6.2444334428745805</v>
      </c>
      <c r="BJ9" s="17">
        <f t="shared" si="0"/>
        <v>6.3499137375177312</v>
      </c>
    </row>
    <row r="10" spans="1:62" ht="18.75">
      <c r="A10" s="4">
        <v>-12</v>
      </c>
      <c r="B10" s="17">
        <f t="shared" si="1"/>
        <v>2.0934496156823863E-2</v>
      </c>
      <c r="C10" s="17">
        <f t="shared" si="0"/>
        <v>0.12560697694094319</v>
      </c>
      <c r="D10" s="17">
        <f t="shared" si="0"/>
        <v>0.2302794577250625</v>
      </c>
      <c r="E10" s="17">
        <f t="shared" si="0"/>
        <v>0.33495193850918181</v>
      </c>
      <c r="F10" s="17">
        <f t="shared" si="0"/>
        <v>0.43962441929330109</v>
      </c>
      <c r="G10" s="17">
        <f t="shared" si="0"/>
        <v>0.54429690007742049</v>
      </c>
      <c r="H10" s="17">
        <f t="shared" si="0"/>
        <v>0.64896938086153977</v>
      </c>
      <c r="I10" s="17">
        <f t="shared" si="0"/>
        <v>0.75364186164565916</v>
      </c>
      <c r="J10" s="17">
        <f t="shared" si="0"/>
        <v>0.85831434242977833</v>
      </c>
      <c r="K10" s="17">
        <f t="shared" si="0"/>
        <v>0.96298682321389772</v>
      </c>
      <c r="L10" s="17">
        <f t="shared" si="0"/>
        <v>1.0676593039980171</v>
      </c>
      <c r="M10" s="17">
        <f t="shared" si="0"/>
        <v>1.1723317847821362</v>
      </c>
      <c r="N10" s="17">
        <f t="shared" si="0"/>
        <v>1.2770042655662557</v>
      </c>
      <c r="O10" s="17">
        <f t="shared" si="0"/>
        <v>1.3816767463503747</v>
      </c>
      <c r="P10" s="17">
        <f t="shared" si="0"/>
        <v>1.4863492271344942</v>
      </c>
      <c r="Q10" s="17">
        <f t="shared" si="0"/>
        <v>1.5910217079186137</v>
      </c>
      <c r="R10" s="17">
        <f t="shared" si="0"/>
        <v>1.695694188702733</v>
      </c>
      <c r="S10" s="17">
        <f t="shared" si="0"/>
        <v>1.8003666694868519</v>
      </c>
      <c r="T10" s="17">
        <f t="shared" si="0"/>
        <v>1.9050391502709718</v>
      </c>
      <c r="U10" s="17">
        <f t="shared" si="0"/>
        <v>2.0097116310550911</v>
      </c>
      <c r="V10" s="17">
        <f t="shared" si="0"/>
        <v>2.1143841118392102</v>
      </c>
      <c r="W10" s="17">
        <f t="shared" si="0"/>
        <v>2.2190565926233297</v>
      </c>
      <c r="X10" s="17">
        <f t="shared" si="0"/>
        <v>2.3237290734074492</v>
      </c>
      <c r="Y10" s="17">
        <f t="shared" si="0"/>
        <v>2.4284015541915682</v>
      </c>
      <c r="Z10" s="17">
        <f t="shared" si="0"/>
        <v>2.5330740349756873</v>
      </c>
      <c r="AA10" s="17">
        <f t="shared" si="0"/>
        <v>2.6377465157598068</v>
      </c>
      <c r="AB10" s="17">
        <f t="shared" si="0"/>
        <v>2.7424189965439258</v>
      </c>
      <c r="AC10" s="17">
        <f t="shared" si="0"/>
        <v>2.8470914773280454</v>
      </c>
      <c r="AD10" s="17">
        <f t="shared" si="0"/>
        <v>2.9517639581121649</v>
      </c>
      <c r="AE10" s="17">
        <f t="shared" si="0"/>
        <v>3.0564364388962839</v>
      </c>
      <c r="AF10" s="17">
        <f t="shared" si="0"/>
        <v>3.161108919680403</v>
      </c>
      <c r="AG10" s="17">
        <f t="shared" ref="C10:BJ14" si="3">($B$1/1000)*((AG$5+1)/1.01325)*(273.15/(273.15+$A10))*$B$2</f>
        <v>3.2657814004645225</v>
      </c>
      <c r="AH10" s="17">
        <f t="shared" si="3"/>
        <v>3.3704538812486424</v>
      </c>
      <c r="AI10" s="17">
        <f t="shared" si="3"/>
        <v>3.4751263620327615</v>
      </c>
      <c r="AJ10" s="17">
        <f t="shared" si="3"/>
        <v>3.5797988428168805</v>
      </c>
      <c r="AK10" s="17">
        <f t="shared" si="3"/>
        <v>3.684471323601</v>
      </c>
      <c r="AL10" s="17">
        <f t="shared" si="3"/>
        <v>3.7891438043851191</v>
      </c>
      <c r="AM10" s="17">
        <f t="shared" si="3"/>
        <v>3.8938162851692386</v>
      </c>
      <c r="AN10" s="17">
        <f t="shared" si="3"/>
        <v>3.9984887659533577</v>
      </c>
      <c r="AO10" s="17">
        <f t="shared" si="3"/>
        <v>4.1031612467374767</v>
      </c>
      <c r="AP10" s="17">
        <f t="shared" si="3"/>
        <v>4.2078337275215967</v>
      </c>
      <c r="AQ10" s="17">
        <f t="shared" si="3"/>
        <v>4.3125062083057157</v>
      </c>
      <c r="AR10" s="17">
        <f t="shared" si="3"/>
        <v>4.4171786890898348</v>
      </c>
      <c r="AS10" s="17">
        <f t="shared" si="3"/>
        <v>4.5218511698739547</v>
      </c>
      <c r="AT10" s="17">
        <f t="shared" si="3"/>
        <v>4.6265236506580738</v>
      </c>
      <c r="AU10" s="17">
        <f t="shared" si="3"/>
        <v>4.7311961314421929</v>
      </c>
      <c r="AV10" s="17">
        <f t="shared" si="3"/>
        <v>4.8358686122263119</v>
      </c>
      <c r="AW10" s="17">
        <f t="shared" si="3"/>
        <v>4.940541093010431</v>
      </c>
      <c r="AX10" s="17">
        <f t="shared" si="3"/>
        <v>5.0452135737945509</v>
      </c>
      <c r="AY10" s="17">
        <f t="shared" si="3"/>
        <v>5.1498860545786709</v>
      </c>
      <c r="AZ10" s="17">
        <f t="shared" si="3"/>
        <v>5.2545585353627899</v>
      </c>
      <c r="BA10" s="17">
        <f t="shared" si="3"/>
        <v>5.359231016146909</v>
      </c>
      <c r="BB10" s="17">
        <f t="shared" si="3"/>
        <v>5.4639034969310289</v>
      </c>
      <c r="BC10" s="17">
        <f t="shared" si="3"/>
        <v>5.5685759777151471</v>
      </c>
      <c r="BD10" s="17">
        <f t="shared" si="3"/>
        <v>5.6732484584992662</v>
      </c>
      <c r="BE10" s="17">
        <f t="shared" si="3"/>
        <v>5.7779209392833861</v>
      </c>
      <c r="BF10" s="17">
        <f t="shared" si="3"/>
        <v>5.8825934200675061</v>
      </c>
      <c r="BG10" s="17">
        <f t="shared" si="3"/>
        <v>5.9872659008516251</v>
      </c>
      <c r="BH10" s="17">
        <f t="shared" si="3"/>
        <v>6.0919383816357442</v>
      </c>
      <c r="BI10" s="17">
        <f t="shared" si="3"/>
        <v>6.1966108624198641</v>
      </c>
      <c r="BJ10" s="17">
        <f t="shared" si="3"/>
        <v>6.3012833432039823</v>
      </c>
    </row>
    <row r="11" spans="1:62" ht="18.75">
      <c r="A11" s="4">
        <v>-10</v>
      </c>
      <c r="B11" s="17">
        <f t="shared" si="1"/>
        <v>2.0775389212823684E-2</v>
      </c>
      <c r="C11" s="17">
        <f t="shared" si="3"/>
        <v>0.1246523352769421</v>
      </c>
      <c r="D11" s="17">
        <f t="shared" si="3"/>
        <v>0.22852928134106051</v>
      </c>
      <c r="E11" s="17">
        <f t="shared" si="3"/>
        <v>0.33240622740517894</v>
      </c>
      <c r="F11" s="17">
        <f t="shared" si="3"/>
        <v>0.43628317346929735</v>
      </c>
      <c r="G11" s="17">
        <f t="shared" si="3"/>
        <v>0.54016011953341581</v>
      </c>
      <c r="H11" s="17">
        <f t="shared" si="3"/>
        <v>0.64403706559753426</v>
      </c>
      <c r="I11" s="17">
        <f t="shared" si="3"/>
        <v>0.74791401166165261</v>
      </c>
      <c r="J11" s="17">
        <f t="shared" si="3"/>
        <v>0.85179095772577107</v>
      </c>
      <c r="K11" s="17">
        <f t="shared" si="3"/>
        <v>0.95566790378988964</v>
      </c>
      <c r="L11" s="17">
        <f t="shared" si="3"/>
        <v>1.0595448498540081</v>
      </c>
      <c r="M11" s="17">
        <f t="shared" si="3"/>
        <v>1.1634217959181261</v>
      </c>
      <c r="N11" s="17">
        <f t="shared" si="3"/>
        <v>1.2672987419822448</v>
      </c>
      <c r="O11" s="17">
        <f t="shared" si="3"/>
        <v>1.371175688046363</v>
      </c>
      <c r="P11" s="17">
        <f t="shared" si="3"/>
        <v>1.4750526341104815</v>
      </c>
      <c r="Q11" s="17">
        <f t="shared" si="3"/>
        <v>1.5789295801746002</v>
      </c>
      <c r="R11" s="17">
        <f t="shared" si="3"/>
        <v>1.6828065262387184</v>
      </c>
      <c r="S11" s="17">
        <f t="shared" si="3"/>
        <v>1.7866834723028364</v>
      </c>
      <c r="T11" s="17">
        <f t="shared" si="3"/>
        <v>1.8905604183669553</v>
      </c>
      <c r="U11" s="17">
        <f t="shared" si="3"/>
        <v>1.9944373644310736</v>
      </c>
      <c r="V11" s="17">
        <f t="shared" si="3"/>
        <v>2.098314310495192</v>
      </c>
      <c r="W11" s="17">
        <f t="shared" si="3"/>
        <v>2.2021912565593103</v>
      </c>
      <c r="X11" s="17">
        <f t="shared" si="3"/>
        <v>2.3060682026234289</v>
      </c>
      <c r="Y11" s="17">
        <f t="shared" si="3"/>
        <v>2.4099451486875476</v>
      </c>
      <c r="Z11" s="17">
        <f t="shared" si="3"/>
        <v>2.5138220947516658</v>
      </c>
      <c r="AA11" s="17">
        <f t="shared" si="3"/>
        <v>2.6176990408157845</v>
      </c>
      <c r="AB11" s="17">
        <f t="shared" si="3"/>
        <v>2.7215759868799023</v>
      </c>
      <c r="AC11" s="17">
        <f t="shared" si="3"/>
        <v>2.8254529329440206</v>
      </c>
      <c r="AD11" s="17">
        <f t="shared" si="3"/>
        <v>2.9293298790081397</v>
      </c>
      <c r="AE11" s="17">
        <f t="shared" si="3"/>
        <v>3.0332068250722579</v>
      </c>
      <c r="AF11" s="17">
        <f t="shared" si="3"/>
        <v>3.1370837711363762</v>
      </c>
      <c r="AG11" s="17">
        <f t="shared" si="3"/>
        <v>3.2409607172004948</v>
      </c>
      <c r="AH11" s="17">
        <f t="shared" si="3"/>
        <v>3.3448376632646131</v>
      </c>
      <c r="AI11" s="17">
        <f t="shared" si="3"/>
        <v>3.4487146093287318</v>
      </c>
      <c r="AJ11" s="17">
        <f t="shared" si="3"/>
        <v>3.5525915553928504</v>
      </c>
      <c r="AK11" s="17">
        <f t="shared" si="3"/>
        <v>3.6564685014569682</v>
      </c>
      <c r="AL11" s="17">
        <f t="shared" si="3"/>
        <v>3.7603454475210869</v>
      </c>
      <c r="AM11" s="17">
        <f t="shared" si="3"/>
        <v>3.8642223935852051</v>
      </c>
      <c r="AN11" s="17">
        <f t="shared" si="3"/>
        <v>3.9680993396493238</v>
      </c>
      <c r="AO11" s="17">
        <f t="shared" si="3"/>
        <v>4.0719762857134416</v>
      </c>
      <c r="AP11" s="17">
        <f t="shared" si="3"/>
        <v>4.1758532317775598</v>
      </c>
      <c r="AQ11" s="17">
        <f t="shared" si="3"/>
        <v>4.279730177841679</v>
      </c>
      <c r="AR11" s="17">
        <f t="shared" si="3"/>
        <v>4.3836071239057972</v>
      </c>
      <c r="AS11" s="17">
        <f t="shared" si="3"/>
        <v>4.4874840699699163</v>
      </c>
      <c r="AT11" s="17">
        <f t="shared" si="3"/>
        <v>4.5913610160340337</v>
      </c>
      <c r="AU11" s="17">
        <f t="shared" si="3"/>
        <v>4.6952379620981528</v>
      </c>
      <c r="AV11" s="17">
        <f t="shared" si="3"/>
        <v>4.799114908162271</v>
      </c>
      <c r="AW11" s="17">
        <f t="shared" si="3"/>
        <v>4.9029918542263893</v>
      </c>
      <c r="AX11" s="17">
        <f t="shared" si="3"/>
        <v>5.0068688002905084</v>
      </c>
      <c r="AY11" s="17">
        <f t="shared" si="3"/>
        <v>5.1107457463546258</v>
      </c>
      <c r="AZ11" s="17">
        <f t="shared" si="3"/>
        <v>5.2146226924187449</v>
      </c>
      <c r="BA11" s="17">
        <f t="shared" si="3"/>
        <v>5.3184996384828631</v>
      </c>
      <c r="BB11" s="17">
        <f t="shared" si="3"/>
        <v>5.4223765845469822</v>
      </c>
      <c r="BC11" s="17">
        <f t="shared" si="3"/>
        <v>5.5262535306111005</v>
      </c>
      <c r="BD11" s="17">
        <f t="shared" si="3"/>
        <v>5.6301304766752169</v>
      </c>
      <c r="BE11" s="17">
        <f t="shared" si="3"/>
        <v>5.7340074227393369</v>
      </c>
      <c r="BF11" s="17">
        <f t="shared" si="3"/>
        <v>5.8378843688034552</v>
      </c>
      <c r="BG11" s="17">
        <f t="shared" si="3"/>
        <v>5.9417613148675734</v>
      </c>
      <c r="BH11" s="17">
        <f t="shared" si="3"/>
        <v>6.0456382609316925</v>
      </c>
      <c r="BI11" s="17">
        <f t="shared" si="3"/>
        <v>6.1495152069958108</v>
      </c>
      <c r="BJ11" s="17">
        <f t="shared" si="3"/>
        <v>6.253392153059929</v>
      </c>
    </row>
    <row r="12" spans="1:62" ht="18.75">
      <c r="A12" s="4">
        <v>-8</v>
      </c>
      <c r="B12" s="17">
        <f t="shared" si="1"/>
        <v>2.0618682524437309E-2</v>
      </c>
      <c r="C12" s="17">
        <f t="shared" si="3"/>
        <v>0.12371209514662386</v>
      </c>
      <c r="D12" s="17">
        <f t="shared" si="3"/>
        <v>0.22680550776881037</v>
      </c>
      <c r="E12" s="17">
        <f t="shared" si="3"/>
        <v>0.32989892039099694</v>
      </c>
      <c r="F12" s="17">
        <f t="shared" si="3"/>
        <v>0.43299233301318341</v>
      </c>
      <c r="G12" s="17">
        <f t="shared" si="3"/>
        <v>0.53608574563537004</v>
      </c>
      <c r="H12" s="17">
        <f t="shared" si="3"/>
        <v>0.63917915825755656</v>
      </c>
      <c r="I12" s="17">
        <f t="shared" si="3"/>
        <v>0.74227257087974308</v>
      </c>
      <c r="J12" s="17">
        <f t="shared" si="3"/>
        <v>0.8453659835019296</v>
      </c>
      <c r="K12" s="17">
        <f t="shared" si="3"/>
        <v>0.94845939612411623</v>
      </c>
      <c r="L12" s="17">
        <f t="shared" si="3"/>
        <v>1.0515528087463029</v>
      </c>
      <c r="M12" s="17">
        <f t="shared" si="3"/>
        <v>1.1546462213684892</v>
      </c>
      <c r="N12" s="17">
        <f t="shared" si="3"/>
        <v>1.2577396339906759</v>
      </c>
      <c r="O12" s="17">
        <f t="shared" si="3"/>
        <v>1.3608330466128622</v>
      </c>
      <c r="P12" s="17">
        <f t="shared" si="3"/>
        <v>1.4639264592350487</v>
      </c>
      <c r="Q12" s="17">
        <f t="shared" si="3"/>
        <v>1.5670198718572357</v>
      </c>
      <c r="R12" s="17">
        <f t="shared" si="3"/>
        <v>1.670113284479422</v>
      </c>
      <c r="S12" s="17">
        <f t="shared" si="3"/>
        <v>1.7732066971016081</v>
      </c>
      <c r="T12" s="17">
        <f t="shared" si="3"/>
        <v>1.876300109723795</v>
      </c>
      <c r="U12" s="17">
        <f t="shared" si="3"/>
        <v>1.9793935223459818</v>
      </c>
      <c r="V12" s="17">
        <f t="shared" si="3"/>
        <v>2.0824869349681681</v>
      </c>
      <c r="W12" s="17">
        <f t="shared" si="3"/>
        <v>2.1855803475903546</v>
      </c>
      <c r="X12" s="17">
        <f t="shared" si="3"/>
        <v>2.2886737602125411</v>
      </c>
      <c r="Y12" s="17">
        <f t="shared" si="3"/>
        <v>2.3917671728347281</v>
      </c>
      <c r="Z12" s="17">
        <f t="shared" si="3"/>
        <v>2.4948605854569146</v>
      </c>
      <c r="AA12" s="17">
        <f t="shared" si="3"/>
        <v>2.5979539980791007</v>
      </c>
      <c r="AB12" s="17">
        <f t="shared" si="3"/>
        <v>2.7010474107012867</v>
      </c>
      <c r="AC12" s="17">
        <f t="shared" si="3"/>
        <v>2.8041408233234733</v>
      </c>
      <c r="AD12" s="17">
        <f t="shared" si="3"/>
        <v>2.9072342359456607</v>
      </c>
      <c r="AE12" s="17">
        <f t="shared" si="3"/>
        <v>3.0103276485678472</v>
      </c>
      <c r="AF12" s="17">
        <f t="shared" si="3"/>
        <v>3.1134210611900333</v>
      </c>
      <c r="AG12" s="17">
        <f t="shared" si="3"/>
        <v>3.2165144738122202</v>
      </c>
      <c r="AH12" s="17">
        <f t="shared" si="3"/>
        <v>3.3196078864344067</v>
      </c>
      <c r="AI12" s="17">
        <f t="shared" si="3"/>
        <v>3.4227012990565933</v>
      </c>
      <c r="AJ12" s="17">
        <f t="shared" si="3"/>
        <v>3.5257947116787798</v>
      </c>
      <c r="AK12" s="17">
        <f t="shared" si="3"/>
        <v>3.6288881243009659</v>
      </c>
      <c r="AL12" s="17">
        <f t="shared" si="3"/>
        <v>3.7319815369231524</v>
      </c>
      <c r="AM12" s="17">
        <f t="shared" si="3"/>
        <v>3.8350749495453389</v>
      </c>
      <c r="AN12" s="17">
        <f t="shared" si="3"/>
        <v>3.9381683621675263</v>
      </c>
      <c r="AO12" s="17">
        <f t="shared" si="3"/>
        <v>4.0412617747897128</v>
      </c>
      <c r="AP12" s="17">
        <f t="shared" si="3"/>
        <v>4.1443551874118993</v>
      </c>
      <c r="AQ12" s="17">
        <f t="shared" si="3"/>
        <v>4.2474486000340859</v>
      </c>
      <c r="AR12" s="17">
        <f t="shared" si="3"/>
        <v>4.3505420126562715</v>
      </c>
      <c r="AS12" s="17">
        <f t="shared" si="3"/>
        <v>4.453635425278458</v>
      </c>
      <c r="AT12" s="17">
        <f t="shared" si="3"/>
        <v>4.5567288379006445</v>
      </c>
      <c r="AU12" s="17">
        <f t="shared" si="3"/>
        <v>4.6598222505228311</v>
      </c>
      <c r="AV12" s="17">
        <f t="shared" si="3"/>
        <v>4.7629156631450185</v>
      </c>
      <c r="AW12" s="17">
        <f t="shared" si="3"/>
        <v>4.866009075767205</v>
      </c>
      <c r="AX12" s="17">
        <f t="shared" si="3"/>
        <v>4.9691024883893915</v>
      </c>
      <c r="AY12" s="17">
        <f t="shared" si="3"/>
        <v>5.072195901011578</v>
      </c>
      <c r="AZ12" s="17">
        <f t="shared" si="3"/>
        <v>5.1752893136337645</v>
      </c>
      <c r="BA12" s="17">
        <f t="shared" si="3"/>
        <v>5.2783827262559511</v>
      </c>
      <c r="BB12" s="17">
        <f t="shared" si="3"/>
        <v>5.3814761388781376</v>
      </c>
      <c r="BC12" s="17">
        <f t="shared" si="3"/>
        <v>5.4845695515003232</v>
      </c>
      <c r="BD12" s="17">
        <f t="shared" si="3"/>
        <v>5.5876629641225097</v>
      </c>
      <c r="BE12" s="17">
        <f t="shared" si="3"/>
        <v>5.6907563767446971</v>
      </c>
      <c r="BF12" s="17">
        <f t="shared" si="3"/>
        <v>5.7938497893668837</v>
      </c>
      <c r="BG12" s="17">
        <f t="shared" si="3"/>
        <v>5.8969432019890702</v>
      </c>
      <c r="BH12" s="17">
        <f t="shared" si="3"/>
        <v>6.0000366146112567</v>
      </c>
      <c r="BI12" s="17">
        <f t="shared" si="3"/>
        <v>6.1031300272334432</v>
      </c>
      <c r="BJ12" s="17">
        <f t="shared" si="3"/>
        <v>6.2062234398556297</v>
      </c>
    </row>
    <row r="13" spans="1:62" ht="18.75">
      <c r="A13" s="4">
        <v>-6</v>
      </c>
      <c r="B13" s="17">
        <f t="shared" si="1"/>
        <v>2.0464322183621757E-2</v>
      </c>
      <c r="C13" s="17">
        <f t="shared" si="3"/>
        <v>0.12278593310173055</v>
      </c>
      <c r="D13" s="17">
        <f t="shared" si="3"/>
        <v>0.22510754401983932</v>
      </c>
      <c r="E13" s="17">
        <f t="shared" si="3"/>
        <v>0.32742915493794811</v>
      </c>
      <c r="F13" s="17">
        <f t="shared" si="3"/>
        <v>0.42975076585605682</v>
      </c>
      <c r="G13" s="17">
        <f t="shared" si="3"/>
        <v>0.53207237677416575</v>
      </c>
      <c r="H13" s="17">
        <f t="shared" si="3"/>
        <v>0.63439398769227451</v>
      </c>
      <c r="I13" s="17">
        <f t="shared" si="3"/>
        <v>0.73671559861038327</v>
      </c>
      <c r="J13" s="17">
        <f t="shared" si="3"/>
        <v>0.83903720952849203</v>
      </c>
      <c r="K13" s="17">
        <f t="shared" si="3"/>
        <v>0.94135882044660091</v>
      </c>
      <c r="L13" s="17">
        <f t="shared" si="3"/>
        <v>1.0436804313647097</v>
      </c>
      <c r="M13" s="17">
        <f t="shared" si="3"/>
        <v>1.1460020422828183</v>
      </c>
      <c r="N13" s="17">
        <f t="shared" si="3"/>
        <v>1.2483236532009274</v>
      </c>
      <c r="O13" s="17">
        <f t="shared" si="3"/>
        <v>1.3506452641190358</v>
      </c>
      <c r="P13" s="17">
        <f t="shared" si="3"/>
        <v>1.4529668750371447</v>
      </c>
      <c r="Q13" s="17">
        <f t="shared" si="3"/>
        <v>1.5552884859552536</v>
      </c>
      <c r="R13" s="17">
        <f t="shared" si="3"/>
        <v>1.6576100968733625</v>
      </c>
      <c r="S13" s="17">
        <f t="shared" si="3"/>
        <v>1.7599317077914709</v>
      </c>
      <c r="T13" s="17">
        <f t="shared" si="3"/>
        <v>1.86225331870958</v>
      </c>
      <c r="U13" s="17">
        <f t="shared" si="3"/>
        <v>1.9645749296276889</v>
      </c>
      <c r="V13" s="17">
        <f t="shared" si="3"/>
        <v>2.0668965405457977</v>
      </c>
      <c r="W13" s="17">
        <f t="shared" si="3"/>
        <v>2.1692181514639062</v>
      </c>
      <c r="X13" s="17">
        <f t="shared" si="3"/>
        <v>2.271539762382015</v>
      </c>
      <c r="Y13" s="17">
        <f t="shared" si="3"/>
        <v>2.3738613733001239</v>
      </c>
      <c r="Z13" s="17">
        <f t="shared" si="3"/>
        <v>2.4761829842182328</v>
      </c>
      <c r="AA13" s="17">
        <f t="shared" si="3"/>
        <v>2.5785045951363412</v>
      </c>
      <c r="AB13" s="17">
        <f t="shared" si="3"/>
        <v>2.6808262060544497</v>
      </c>
      <c r="AC13" s="17">
        <f t="shared" si="3"/>
        <v>2.783147816972559</v>
      </c>
      <c r="AD13" s="17">
        <f t="shared" si="3"/>
        <v>2.8854694278906678</v>
      </c>
      <c r="AE13" s="17">
        <f t="shared" si="3"/>
        <v>2.9877910388087767</v>
      </c>
      <c r="AF13" s="17">
        <f t="shared" si="3"/>
        <v>3.0901126497268856</v>
      </c>
      <c r="AG13" s="17">
        <f t="shared" si="3"/>
        <v>3.192434260644994</v>
      </c>
      <c r="AH13" s="17">
        <f t="shared" si="3"/>
        <v>3.2947558715631029</v>
      </c>
      <c r="AI13" s="17">
        <f t="shared" si="3"/>
        <v>3.3970774824812118</v>
      </c>
      <c r="AJ13" s="17">
        <f t="shared" si="3"/>
        <v>3.4993990933993206</v>
      </c>
      <c r="AK13" s="17">
        <f t="shared" si="3"/>
        <v>3.6017207043174291</v>
      </c>
      <c r="AL13" s="17">
        <f t="shared" si="3"/>
        <v>3.704042315235538</v>
      </c>
      <c r="AM13" s="17">
        <f t="shared" si="3"/>
        <v>3.8063639261536468</v>
      </c>
      <c r="AN13" s="17">
        <f t="shared" si="3"/>
        <v>3.9086855370717557</v>
      </c>
      <c r="AO13" s="17">
        <f t="shared" si="3"/>
        <v>4.0110071479898641</v>
      </c>
      <c r="AP13" s="17">
        <f t="shared" si="3"/>
        <v>4.113328758907973</v>
      </c>
      <c r="AQ13" s="17">
        <f t="shared" si="3"/>
        <v>4.2156503698260819</v>
      </c>
      <c r="AR13" s="17">
        <f t="shared" si="3"/>
        <v>4.3179719807441908</v>
      </c>
      <c r="AS13" s="17">
        <f t="shared" si="3"/>
        <v>4.4202935916622996</v>
      </c>
      <c r="AT13" s="17">
        <f t="shared" si="3"/>
        <v>4.5226152025804085</v>
      </c>
      <c r="AU13" s="17">
        <f t="shared" si="3"/>
        <v>4.6249368134985174</v>
      </c>
      <c r="AV13" s="17">
        <f t="shared" si="3"/>
        <v>4.7272584244166262</v>
      </c>
      <c r="AW13" s="17">
        <f t="shared" si="3"/>
        <v>4.8295800353347351</v>
      </c>
      <c r="AX13" s="17">
        <f t="shared" si="3"/>
        <v>4.931901646252844</v>
      </c>
      <c r="AY13" s="17">
        <f t="shared" si="3"/>
        <v>5.0342232571709529</v>
      </c>
      <c r="AZ13" s="17">
        <f t="shared" si="3"/>
        <v>5.1365448680890609</v>
      </c>
      <c r="BA13" s="17">
        <f t="shared" si="3"/>
        <v>5.2388664790071697</v>
      </c>
      <c r="BB13" s="17">
        <f t="shared" si="3"/>
        <v>5.3411880899252795</v>
      </c>
      <c r="BC13" s="17">
        <f t="shared" si="3"/>
        <v>5.4435097008433875</v>
      </c>
      <c r="BD13" s="17">
        <f t="shared" si="3"/>
        <v>5.5458313117614955</v>
      </c>
      <c r="BE13" s="17">
        <f t="shared" si="3"/>
        <v>5.6481529226796052</v>
      </c>
      <c r="BF13" s="17">
        <f t="shared" si="3"/>
        <v>5.7504745335977141</v>
      </c>
      <c r="BG13" s="17">
        <f t="shared" si="3"/>
        <v>5.8527961445158221</v>
      </c>
      <c r="BH13" s="17">
        <f t="shared" si="3"/>
        <v>5.955117755433931</v>
      </c>
      <c r="BI13" s="17">
        <f t="shared" si="3"/>
        <v>6.0574393663520407</v>
      </c>
      <c r="BJ13" s="17">
        <f t="shared" si="3"/>
        <v>6.1597609772701487</v>
      </c>
    </row>
    <row r="14" spans="1:62" ht="18.75">
      <c r="A14" s="4">
        <v>-4</v>
      </c>
      <c r="B14" s="17">
        <f t="shared" si="1"/>
        <v>2.0312255884653733E-2</v>
      </c>
      <c r="C14" s="17">
        <f t="shared" si="3"/>
        <v>0.12187353530792241</v>
      </c>
      <c r="D14" s="17">
        <f t="shared" si="3"/>
        <v>0.22343481473119109</v>
      </c>
      <c r="E14" s="17">
        <f t="shared" si="3"/>
        <v>0.32499609415445974</v>
      </c>
      <c r="F14" s="17">
        <f t="shared" si="3"/>
        <v>0.42655737357772838</v>
      </c>
      <c r="G14" s="17">
        <f t="shared" si="3"/>
        <v>0.52811865300099714</v>
      </c>
      <c r="H14" s="17">
        <f t="shared" si="3"/>
        <v>0.62967993242426579</v>
      </c>
      <c r="I14" s="17">
        <f t="shared" si="3"/>
        <v>0.73124121184753443</v>
      </c>
      <c r="J14" s="17">
        <f t="shared" si="3"/>
        <v>0.83280249127080308</v>
      </c>
      <c r="K14" s="17">
        <f t="shared" si="3"/>
        <v>0.93436377069407195</v>
      </c>
      <c r="L14" s="17">
        <f t="shared" si="3"/>
        <v>1.0359250501173407</v>
      </c>
      <c r="M14" s="17">
        <f t="shared" si="3"/>
        <v>1.137486329540609</v>
      </c>
      <c r="N14" s="17">
        <f t="shared" si="3"/>
        <v>1.239047608963878</v>
      </c>
      <c r="O14" s="17">
        <f t="shared" si="3"/>
        <v>1.3406088883871465</v>
      </c>
      <c r="P14" s="17">
        <f t="shared" si="3"/>
        <v>1.4421701678104151</v>
      </c>
      <c r="Q14" s="17">
        <f t="shared" si="3"/>
        <v>1.5437314472336838</v>
      </c>
      <c r="R14" s="17">
        <f t="shared" si="3"/>
        <v>1.6452927266569528</v>
      </c>
      <c r="S14" s="17">
        <f t="shared" si="3"/>
        <v>1.7468540060802209</v>
      </c>
      <c r="T14" s="17">
        <f t="shared" si="3"/>
        <v>1.8484152855034899</v>
      </c>
      <c r="U14" s="17">
        <f t="shared" si="3"/>
        <v>1.9499765649267586</v>
      </c>
      <c r="V14" s="17">
        <f t="shared" si="3"/>
        <v>2.0515378443500274</v>
      </c>
      <c r="W14" s="17">
        <f t="shared" si="3"/>
        <v>2.1530991237732957</v>
      </c>
      <c r="X14" s="17">
        <f t="shared" si="3"/>
        <v>2.2546604031965645</v>
      </c>
      <c r="Y14" s="17">
        <f t="shared" si="3"/>
        <v>2.3562216826198332</v>
      </c>
      <c r="Z14" s="17">
        <f t="shared" si="3"/>
        <v>2.457782962043102</v>
      </c>
      <c r="AA14" s="17">
        <f t="shared" si="3"/>
        <v>2.5593442414663707</v>
      </c>
      <c r="AB14" s="17">
        <f t="shared" si="3"/>
        <v>2.6609055208896391</v>
      </c>
      <c r="AC14" s="17">
        <f t="shared" si="3"/>
        <v>2.7624668003129078</v>
      </c>
      <c r="AD14" s="17">
        <f t="shared" si="3"/>
        <v>2.8640280797361766</v>
      </c>
      <c r="AE14" s="17">
        <f t="shared" si="3"/>
        <v>2.9655893591594453</v>
      </c>
      <c r="AF14" s="17">
        <f t="shared" si="3"/>
        <v>3.0671506385827141</v>
      </c>
      <c r="AG14" s="17">
        <f t="shared" si="3"/>
        <v>3.1687119180059824</v>
      </c>
      <c r="AH14" s="17">
        <f t="shared" si="3"/>
        <v>3.2702731974292516</v>
      </c>
      <c r="AI14" s="17">
        <f t="shared" si="3"/>
        <v>3.3718344768525195</v>
      </c>
      <c r="AJ14" s="17">
        <f t="shared" si="3"/>
        <v>3.4733957562757887</v>
      </c>
      <c r="AK14" s="17">
        <f t="shared" si="3"/>
        <v>3.5749570356990574</v>
      </c>
      <c r="AL14" s="17">
        <f t="shared" si="3"/>
        <v>3.6765183151223262</v>
      </c>
      <c r="AM14" s="17">
        <f t="shared" si="3"/>
        <v>3.7780795945455945</v>
      </c>
      <c r="AN14" s="17">
        <f t="shared" si="3"/>
        <v>3.8796408739688633</v>
      </c>
      <c r="AO14" s="17">
        <f t="shared" si="3"/>
        <v>3.9812021533921325</v>
      </c>
      <c r="AP14" s="17">
        <f t="shared" si="3"/>
        <v>4.0827634328154003</v>
      </c>
      <c r="AQ14" s="17">
        <f t="shared" si="3"/>
        <v>4.1843247122386691</v>
      </c>
      <c r="AR14" s="17">
        <f t="shared" si="3"/>
        <v>4.2858859916619378</v>
      </c>
      <c r="AS14" s="17">
        <f t="shared" si="3"/>
        <v>4.3874472710852066</v>
      </c>
      <c r="AT14" s="17">
        <f t="shared" si="3"/>
        <v>4.4890085505084754</v>
      </c>
      <c r="AU14" s="17">
        <f t="shared" si="3"/>
        <v>4.5905698299317441</v>
      </c>
      <c r="AV14" s="17">
        <f t="shared" ref="C14:BJ18" si="4">($B$1/1000)*((AV$5+1)/1.01325)*(273.15/(273.15+$A14))*$B$2</f>
        <v>4.692131109355012</v>
      </c>
      <c r="AW14" s="17">
        <f t="shared" si="4"/>
        <v>4.7936923887782816</v>
      </c>
      <c r="AX14" s="17">
        <f t="shared" si="4"/>
        <v>4.8952536682015504</v>
      </c>
      <c r="AY14" s="17">
        <f t="shared" si="4"/>
        <v>4.9968149476248183</v>
      </c>
      <c r="AZ14" s="17">
        <f t="shared" si="4"/>
        <v>5.098376227048087</v>
      </c>
      <c r="BA14" s="17">
        <f t="shared" si="4"/>
        <v>5.1999375064713558</v>
      </c>
      <c r="BB14" s="17">
        <f t="shared" si="4"/>
        <v>5.3014987858946254</v>
      </c>
      <c r="BC14" s="17">
        <f t="shared" si="4"/>
        <v>5.4030600653178933</v>
      </c>
      <c r="BD14" s="17">
        <f t="shared" si="4"/>
        <v>5.5046213447411612</v>
      </c>
      <c r="BE14" s="17">
        <f t="shared" si="4"/>
        <v>5.6061826241644308</v>
      </c>
      <c r="BF14" s="17">
        <f t="shared" si="4"/>
        <v>5.7077439035876996</v>
      </c>
      <c r="BG14" s="17">
        <f t="shared" si="4"/>
        <v>5.8093051830109683</v>
      </c>
      <c r="BH14" s="17">
        <f t="shared" si="4"/>
        <v>5.9108664624342371</v>
      </c>
      <c r="BI14" s="17">
        <f t="shared" si="4"/>
        <v>6.0124277418575058</v>
      </c>
      <c r="BJ14" s="17">
        <f t="shared" si="4"/>
        <v>6.1139890212807737</v>
      </c>
    </row>
    <row r="15" spans="1:62" ht="18.75">
      <c r="A15" s="4">
        <v>-2</v>
      </c>
      <c r="B15" s="17">
        <f t="shared" si="1"/>
        <v>2.0162432865036151E-2</v>
      </c>
      <c r="C15" s="17">
        <f t="shared" si="4"/>
        <v>0.12097459719021693</v>
      </c>
      <c r="D15" s="17">
        <f t="shared" si="4"/>
        <v>0.22178676151539767</v>
      </c>
      <c r="E15" s="17">
        <f t="shared" si="4"/>
        <v>0.32259892584057842</v>
      </c>
      <c r="F15" s="17">
        <f t="shared" si="4"/>
        <v>0.42341109016575917</v>
      </c>
      <c r="G15" s="17">
        <f t="shared" si="4"/>
        <v>0.52422325449093998</v>
      </c>
      <c r="H15" s="17">
        <f t="shared" si="4"/>
        <v>0.62503541881612068</v>
      </c>
      <c r="I15" s="17">
        <f t="shared" si="4"/>
        <v>0.7258475831413016</v>
      </c>
      <c r="J15" s="17">
        <f t="shared" si="4"/>
        <v>0.82665974746648208</v>
      </c>
      <c r="K15" s="17">
        <f t="shared" si="4"/>
        <v>0.92747191179166311</v>
      </c>
      <c r="L15" s="17">
        <f t="shared" si="4"/>
        <v>1.0282840761168439</v>
      </c>
      <c r="M15" s="17">
        <f t="shared" si="4"/>
        <v>1.1290962404420244</v>
      </c>
      <c r="N15" s="17">
        <f t="shared" si="4"/>
        <v>1.2299084047672053</v>
      </c>
      <c r="O15" s="17">
        <f t="shared" si="4"/>
        <v>1.330720569092386</v>
      </c>
      <c r="P15" s="17">
        <f t="shared" si="4"/>
        <v>1.4315327334175667</v>
      </c>
      <c r="Q15" s="17">
        <f t="shared" si="4"/>
        <v>1.5323448977427476</v>
      </c>
      <c r="R15" s="17">
        <f t="shared" si="4"/>
        <v>1.6331570620679285</v>
      </c>
      <c r="S15" s="17">
        <f t="shared" si="4"/>
        <v>1.7339692263931088</v>
      </c>
      <c r="T15" s="17">
        <f t="shared" si="4"/>
        <v>1.8347813907182897</v>
      </c>
      <c r="U15" s="17">
        <f t="shared" si="4"/>
        <v>1.9355935550434709</v>
      </c>
      <c r="V15" s="17">
        <f t="shared" si="4"/>
        <v>2.0364057193686516</v>
      </c>
      <c r="W15" s="17">
        <f t="shared" si="4"/>
        <v>2.137217883693832</v>
      </c>
      <c r="X15" s="17">
        <f t="shared" si="4"/>
        <v>2.238030048019013</v>
      </c>
      <c r="Y15" s="17">
        <f t="shared" si="4"/>
        <v>2.3388422123441939</v>
      </c>
      <c r="Z15" s="17">
        <f t="shared" si="4"/>
        <v>2.4396543766693743</v>
      </c>
      <c r="AA15" s="17">
        <f t="shared" si="4"/>
        <v>2.5404665409945553</v>
      </c>
      <c r="AB15" s="17">
        <f t="shared" si="4"/>
        <v>2.6412787053197357</v>
      </c>
      <c r="AC15" s="17">
        <f t="shared" si="4"/>
        <v>2.7420908696449162</v>
      </c>
      <c r="AD15" s="17">
        <f t="shared" si="4"/>
        <v>2.8429030339700976</v>
      </c>
      <c r="AE15" s="17">
        <f t="shared" si="4"/>
        <v>2.9437151982952785</v>
      </c>
      <c r="AF15" s="17">
        <f t="shared" si="4"/>
        <v>3.044527362620459</v>
      </c>
      <c r="AG15" s="17">
        <f t="shared" si="4"/>
        <v>3.1453395269456399</v>
      </c>
      <c r="AH15" s="17">
        <f t="shared" si="4"/>
        <v>3.2461516912708204</v>
      </c>
      <c r="AI15" s="17">
        <f t="shared" si="4"/>
        <v>3.3469638555960013</v>
      </c>
      <c r="AJ15" s="17">
        <f t="shared" si="4"/>
        <v>3.4477760199211822</v>
      </c>
      <c r="AK15" s="17">
        <f t="shared" si="4"/>
        <v>3.5485881842463627</v>
      </c>
      <c r="AL15" s="17">
        <f t="shared" si="4"/>
        <v>3.6494003485715436</v>
      </c>
      <c r="AM15" s="17">
        <f t="shared" si="4"/>
        <v>3.7502125128967245</v>
      </c>
      <c r="AN15" s="17">
        <f t="shared" si="4"/>
        <v>3.851024677221905</v>
      </c>
      <c r="AO15" s="17">
        <f t="shared" si="4"/>
        <v>3.9518368415470859</v>
      </c>
      <c r="AP15" s="17">
        <f t="shared" si="4"/>
        <v>4.0526490058722668</v>
      </c>
      <c r="AQ15" s="17">
        <f t="shared" si="4"/>
        <v>4.1534611701974473</v>
      </c>
      <c r="AR15" s="17">
        <f t="shared" si="4"/>
        <v>4.2542733345226278</v>
      </c>
      <c r="AS15" s="17">
        <f t="shared" si="4"/>
        <v>4.3550854988478092</v>
      </c>
      <c r="AT15" s="17">
        <f t="shared" si="4"/>
        <v>4.4558976631729896</v>
      </c>
      <c r="AU15" s="17">
        <f t="shared" si="4"/>
        <v>4.5567098274981701</v>
      </c>
      <c r="AV15" s="17">
        <f t="shared" si="4"/>
        <v>4.6575219918233515</v>
      </c>
      <c r="AW15" s="17">
        <f t="shared" si="4"/>
        <v>4.7583341561485319</v>
      </c>
      <c r="AX15" s="17">
        <f t="shared" si="4"/>
        <v>4.8591463204737124</v>
      </c>
      <c r="AY15" s="17">
        <f t="shared" si="4"/>
        <v>4.9599584847988938</v>
      </c>
      <c r="AZ15" s="17">
        <f t="shared" si="4"/>
        <v>5.0607706491240743</v>
      </c>
      <c r="BA15" s="17">
        <f t="shared" si="4"/>
        <v>5.1615828134492547</v>
      </c>
      <c r="BB15" s="17">
        <f t="shared" si="4"/>
        <v>5.262394977774437</v>
      </c>
      <c r="BC15" s="17">
        <f t="shared" si="4"/>
        <v>5.3632071420996166</v>
      </c>
      <c r="BD15" s="17">
        <f t="shared" si="4"/>
        <v>5.4640193064247962</v>
      </c>
      <c r="BE15" s="17">
        <f t="shared" si="4"/>
        <v>5.5648314707499784</v>
      </c>
      <c r="BF15" s="17">
        <f t="shared" si="4"/>
        <v>5.6656436350751589</v>
      </c>
      <c r="BG15" s="17">
        <f t="shared" si="4"/>
        <v>5.7664557994003394</v>
      </c>
      <c r="BH15" s="17">
        <f t="shared" si="4"/>
        <v>5.8672679637255198</v>
      </c>
      <c r="BI15" s="17">
        <f t="shared" si="4"/>
        <v>5.9680801280507012</v>
      </c>
      <c r="BJ15" s="17">
        <f t="shared" si="4"/>
        <v>6.0688922923758817</v>
      </c>
    </row>
    <row r="16" spans="1:62" ht="18.75">
      <c r="A16" s="4">
        <v>0</v>
      </c>
      <c r="B16" s="17">
        <f t="shared" si="1"/>
        <v>2.0014803849000739E-2</v>
      </c>
      <c r="C16" s="17">
        <f t="shared" si="4"/>
        <v>0.12008882309400444</v>
      </c>
      <c r="D16" s="17">
        <f t="shared" si="4"/>
        <v>0.22016284233900815</v>
      </c>
      <c r="E16" s="17">
        <f t="shared" si="4"/>
        <v>0.32023686158401182</v>
      </c>
      <c r="F16" s="17">
        <f t="shared" si="4"/>
        <v>0.42031088082901547</v>
      </c>
      <c r="G16" s="17">
        <f t="shared" si="4"/>
        <v>0.52038490007401927</v>
      </c>
      <c r="H16" s="17">
        <f t="shared" si="4"/>
        <v>0.62045891931902297</v>
      </c>
      <c r="I16" s="17">
        <f t="shared" si="4"/>
        <v>0.72053293856402667</v>
      </c>
      <c r="J16" s="17">
        <f t="shared" si="4"/>
        <v>0.82060695780903026</v>
      </c>
      <c r="K16" s="17">
        <f t="shared" si="4"/>
        <v>0.92068097705403418</v>
      </c>
      <c r="L16" s="17">
        <f t="shared" si="4"/>
        <v>1.0207549962990379</v>
      </c>
      <c r="M16" s="17">
        <f t="shared" si="4"/>
        <v>1.1208290155440415</v>
      </c>
      <c r="N16" s="17">
        <f t="shared" si="4"/>
        <v>1.2209030347890453</v>
      </c>
      <c r="O16" s="17">
        <f t="shared" si="4"/>
        <v>1.3209770540340489</v>
      </c>
      <c r="P16" s="17">
        <f t="shared" si="4"/>
        <v>1.4210510732790524</v>
      </c>
      <c r="Q16" s="17">
        <f t="shared" si="4"/>
        <v>1.5211250925240563</v>
      </c>
      <c r="R16" s="17">
        <f t="shared" si="4"/>
        <v>1.6211991117690601</v>
      </c>
      <c r="S16" s="17">
        <f t="shared" si="4"/>
        <v>1.7212731310140634</v>
      </c>
      <c r="T16" s="17">
        <f t="shared" si="4"/>
        <v>1.8213471502590675</v>
      </c>
      <c r="U16" s="17">
        <f t="shared" si="4"/>
        <v>1.921421169504071</v>
      </c>
      <c r="V16" s="17">
        <f t="shared" si="4"/>
        <v>2.0214951887490749</v>
      </c>
      <c r="W16" s="17">
        <f t="shared" si="4"/>
        <v>2.1215692079940784</v>
      </c>
      <c r="X16" s="17">
        <f t="shared" si="4"/>
        <v>2.221643227239082</v>
      </c>
      <c r="Y16" s="17">
        <f t="shared" si="4"/>
        <v>2.3217172464840861</v>
      </c>
      <c r="Z16" s="17">
        <f t="shared" si="4"/>
        <v>2.4217912657290896</v>
      </c>
      <c r="AA16" s="17">
        <f t="shared" si="4"/>
        <v>2.5218652849740932</v>
      </c>
      <c r="AB16" s="17">
        <f t="shared" si="4"/>
        <v>2.6219393042190968</v>
      </c>
      <c r="AC16" s="17">
        <f t="shared" si="4"/>
        <v>2.7220133234641004</v>
      </c>
      <c r="AD16" s="17">
        <f t="shared" si="4"/>
        <v>2.8220873427091044</v>
      </c>
      <c r="AE16" s="17">
        <f t="shared" si="4"/>
        <v>2.922161361954108</v>
      </c>
      <c r="AF16" s="17">
        <f t="shared" si="4"/>
        <v>3.0222353811991116</v>
      </c>
      <c r="AG16" s="17">
        <f t="shared" si="4"/>
        <v>3.1223094004441156</v>
      </c>
      <c r="AH16" s="17">
        <f t="shared" si="4"/>
        <v>3.2223834196891192</v>
      </c>
      <c r="AI16" s="17">
        <f t="shared" si="4"/>
        <v>3.3224574389341228</v>
      </c>
      <c r="AJ16" s="17">
        <f t="shared" si="4"/>
        <v>3.4225314581791264</v>
      </c>
      <c r="AK16" s="17">
        <f t="shared" si="4"/>
        <v>3.5226054774241304</v>
      </c>
      <c r="AL16" s="17">
        <f t="shared" si="4"/>
        <v>3.622679496669134</v>
      </c>
      <c r="AM16" s="17">
        <f t="shared" si="4"/>
        <v>3.7227535159141376</v>
      </c>
      <c r="AN16" s="17">
        <f t="shared" si="4"/>
        <v>3.8228275351591412</v>
      </c>
      <c r="AO16" s="17">
        <f t="shared" si="4"/>
        <v>3.9229015544041452</v>
      </c>
      <c r="AP16" s="17">
        <f t="shared" si="4"/>
        <v>4.0229755736491484</v>
      </c>
      <c r="AQ16" s="17">
        <f t="shared" si="4"/>
        <v>4.1230495928941524</v>
      </c>
      <c r="AR16" s="17">
        <f t="shared" si="4"/>
        <v>4.2231236121391564</v>
      </c>
      <c r="AS16" s="17">
        <f t="shared" si="4"/>
        <v>4.3231976313841596</v>
      </c>
      <c r="AT16" s="17">
        <f t="shared" si="4"/>
        <v>4.4232716506291636</v>
      </c>
      <c r="AU16" s="17">
        <f t="shared" si="4"/>
        <v>4.5233456698741676</v>
      </c>
      <c r="AV16" s="17">
        <f t="shared" si="4"/>
        <v>4.6234196891191708</v>
      </c>
      <c r="AW16" s="17">
        <f t="shared" si="4"/>
        <v>4.7234937083641748</v>
      </c>
      <c r="AX16" s="17">
        <f t="shared" si="4"/>
        <v>4.823567727609178</v>
      </c>
      <c r="AY16" s="17">
        <f t="shared" si="4"/>
        <v>4.923641746854182</v>
      </c>
      <c r="AZ16" s="17">
        <f t="shared" si="4"/>
        <v>5.023715766099186</v>
      </c>
      <c r="BA16" s="17">
        <f t="shared" si="4"/>
        <v>5.1237897853441892</v>
      </c>
      <c r="BB16" s="17">
        <f t="shared" si="4"/>
        <v>5.2238638045891941</v>
      </c>
      <c r="BC16" s="17">
        <f t="shared" si="4"/>
        <v>5.3239378238341972</v>
      </c>
      <c r="BD16" s="17">
        <f t="shared" si="4"/>
        <v>5.4240118430791995</v>
      </c>
      <c r="BE16" s="17">
        <f t="shared" si="4"/>
        <v>5.5240858623242044</v>
      </c>
      <c r="BF16" s="17">
        <f t="shared" si="4"/>
        <v>5.6241598815692075</v>
      </c>
      <c r="BG16" s="17">
        <f t="shared" si="4"/>
        <v>5.7242339008142116</v>
      </c>
      <c r="BH16" s="17">
        <f t="shared" si="4"/>
        <v>5.8243079200592156</v>
      </c>
      <c r="BI16" s="17">
        <f t="shared" si="4"/>
        <v>5.9243819393042196</v>
      </c>
      <c r="BJ16" s="17">
        <f t="shared" si="4"/>
        <v>6.0244559585492228</v>
      </c>
    </row>
    <row r="17" spans="1:62" ht="18.75">
      <c r="A17" s="2">
        <v>2</v>
      </c>
      <c r="B17" s="17">
        <f t="shared" si="1"/>
        <v>1.9869320993474656E-2</v>
      </c>
      <c r="C17" s="17">
        <f t="shared" si="4"/>
        <v>0.11921592596084796</v>
      </c>
      <c r="D17" s="17">
        <f t="shared" si="4"/>
        <v>0.21856253092822125</v>
      </c>
      <c r="E17" s="17">
        <f t="shared" si="4"/>
        <v>0.3179091358955945</v>
      </c>
      <c r="F17" s="17">
        <f t="shared" si="4"/>
        <v>0.41725574086296774</v>
      </c>
      <c r="G17" s="17">
        <f t="shared" si="4"/>
        <v>0.51660234583034115</v>
      </c>
      <c r="H17" s="17">
        <f t="shared" si="4"/>
        <v>0.6159489507977145</v>
      </c>
      <c r="I17" s="17">
        <f t="shared" si="4"/>
        <v>0.71529555576508774</v>
      </c>
      <c r="J17" s="17">
        <f t="shared" si="4"/>
        <v>0.81464216073246098</v>
      </c>
      <c r="K17" s="17">
        <f t="shared" si="4"/>
        <v>0.91398876569983434</v>
      </c>
      <c r="L17" s="17">
        <f t="shared" si="4"/>
        <v>1.0133353706672077</v>
      </c>
      <c r="M17" s="17">
        <f t="shared" si="4"/>
        <v>1.1126819756345807</v>
      </c>
      <c r="N17" s="17">
        <f t="shared" si="4"/>
        <v>1.2120285806019542</v>
      </c>
      <c r="O17" s="17">
        <f t="shared" si="4"/>
        <v>1.3113751855693274</v>
      </c>
      <c r="P17" s="17">
        <f t="shared" si="4"/>
        <v>1.4107217905367007</v>
      </c>
      <c r="Q17" s="17">
        <f t="shared" si="4"/>
        <v>1.5100683955040741</v>
      </c>
      <c r="R17" s="17">
        <f t="shared" si="4"/>
        <v>1.6094150004714476</v>
      </c>
      <c r="S17" s="17">
        <f t="shared" si="4"/>
        <v>1.7087616054388204</v>
      </c>
      <c r="T17" s="17">
        <f t="shared" si="4"/>
        <v>1.8081082104061938</v>
      </c>
      <c r="U17" s="17">
        <f t="shared" si="4"/>
        <v>1.9074548153735673</v>
      </c>
      <c r="V17" s="17">
        <f t="shared" si="4"/>
        <v>2.0068014203409406</v>
      </c>
      <c r="W17" s="17">
        <f t="shared" si="4"/>
        <v>2.1061480253083138</v>
      </c>
      <c r="X17" s="17">
        <f t="shared" si="4"/>
        <v>2.205494630275687</v>
      </c>
      <c r="Y17" s="17">
        <f t="shared" si="4"/>
        <v>2.3048412352430603</v>
      </c>
      <c r="Z17" s="17">
        <f t="shared" si="4"/>
        <v>2.4041878402104335</v>
      </c>
      <c r="AA17" s="17">
        <f t="shared" si="4"/>
        <v>2.5035344451778068</v>
      </c>
      <c r="AB17" s="17">
        <f t="shared" si="4"/>
        <v>2.60288105014518</v>
      </c>
      <c r="AC17" s="17">
        <f t="shared" si="4"/>
        <v>2.7022276551125533</v>
      </c>
      <c r="AD17" s="17">
        <f t="shared" si="4"/>
        <v>2.8015742600799269</v>
      </c>
      <c r="AE17" s="17">
        <f t="shared" si="4"/>
        <v>2.9009208650473002</v>
      </c>
      <c r="AF17" s="17">
        <f t="shared" si="4"/>
        <v>3.0002674700146734</v>
      </c>
      <c r="AG17" s="17">
        <f t="shared" si="4"/>
        <v>3.0996140749820467</v>
      </c>
      <c r="AH17" s="17">
        <f t="shared" si="4"/>
        <v>3.1989606799494203</v>
      </c>
      <c r="AI17" s="17">
        <f t="shared" si="4"/>
        <v>3.2983072849167931</v>
      </c>
      <c r="AJ17" s="17">
        <f t="shared" si="4"/>
        <v>3.3976538898841664</v>
      </c>
      <c r="AK17" s="17">
        <f t="shared" si="4"/>
        <v>3.4970004948515401</v>
      </c>
      <c r="AL17" s="17">
        <f t="shared" si="4"/>
        <v>3.5963470998189129</v>
      </c>
      <c r="AM17" s="17">
        <f t="shared" si="4"/>
        <v>3.6956937047862866</v>
      </c>
      <c r="AN17" s="17">
        <f t="shared" si="4"/>
        <v>3.7950403097536598</v>
      </c>
      <c r="AO17" s="17">
        <f t="shared" si="4"/>
        <v>3.8943869147210326</v>
      </c>
      <c r="AP17" s="17">
        <f t="shared" si="4"/>
        <v>3.9937335196884063</v>
      </c>
      <c r="AQ17" s="17">
        <f t="shared" si="4"/>
        <v>4.0930801246557795</v>
      </c>
      <c r="AR17" s="17">
        <f t="shared" si="4"/>
        <v>4.1924267296231523</v>
      </c>
      <c r="AS17" s="17">
        <f t="shared" si="4"/>
        <v>4.291773334590526</v>
      </c>
      <c r="AT17" s="17">
        <f t="shared" si="4"/>
        <v>4.3911199395578997</v>
      </c>
      <c r="AU17" s="17">
        <f t="shared" si="4"/>
        <v>4.4904665445252725</v>
      </c>
      <c r="AV17" s="17">
        <f t="shared" si="4"/>
        <v>4.5898131494926462</v>
      </c>
      <c r="AW17" s="17">
        <f t="shared" si="4"/>
        <v>4.689159754460019</v>
      </c>
      <c r="AX17" s="17">
        <f t="shared" si="4"/>
        <v>4.7885063594273927</v>
      </c>
      <c r="AY17" s="17">
        <f t="shared" si="4"/>
        <v>4.8878529643947664</v>
      </c>
      <c r="AZ17" s="17">
        <f t="shared" si="4"/>
        <v>4.9871995693621392</v>
      </c>
      <c r="BA17" s="17">
        <f t="shared" si="4"/>
        <v>5.0865461743295119</v>
      </c>
      <c r="BB17" s="17">
        <f t="shared" si="4"/>
        <v>5.1858927792968865</v>
      </c>
      <c r="BC17" s="17">
        <f t="shared" si="4"/>
        <v>5.2852393842642584</v>
      </c>
      <c r="BD17" s="17">
        <f t="shared" si="4"/>
        <v>5.3845859892316312</v>
      </c>
      <c r="BE17" s="17">
        <f t="shared" si="4"/>
        <v>5.4839325941990058</v>
      </c>
      <c r="BF17" s="17">
        <f t="shared" si="4"/>
        <v>5.5832791991663786</v>
      </c>
      <c r="BG17" s="17">
        <f t="shared" si="4"/>
        <v>5.6826258041337523</v>
      </c>
      <c r="BH17" s="17">
        <f t="shared" si="4"/>
        <v>5.781972409101126</v>
      </c>
      <c r="BI17" s="17">
        <f t="shared" si="4"/>
        <v>5.8813190140684997</v>
      </c>
      <c r="BJ17" s="17">
        <f t="shared" si="4"/>
        <v>5.9806656190358725</v>
      </c>
    </row>
    <row r="18" spans="1:62" ht="18.75">
      <c r="A18" s="2">
        <v>4</v>
      </c>
      <c r="B18" s="17">
        <f t="shared" si="1"/>
        <v>1.9725937836386622E-2</v>
      </c>
      <c r="C18" s="17">
        <f t="shared" si="4"/>
        <v>0.11835562701831974</v>
      </c>
      <c r="D18" s="17">
        <f t="shared" si="4"/>
        <v>0.21698531620025283</v>
      </c>
      <c r="E18" s="17">
        <f t="shared" si="4"/>
        <v>0.31561500538218595</v>
      </c>
      <c r="F18" s="17">
        <f t="shared" si="4"/>
        <v>0.414244694564119</v>
      </c>
      <c r="G18" s="17">
        <f t="shared" si="4"/>
        <v>0.51287438374605221</v>
      </c>
      <c r="H18" s="17">
        <f t="shared" si="4"/>
        <v>0.61150407292798525</v>
      </c>
      <c r="I18" s="17">
        <f t="shared" si="4"/>
        <v>0.71013376210991841</v>
      </c>
      <c r="J18" s="17">
        <f t="shared" si="4"/>
        <v>0.80876345129185145</v>
      </c>
      <c r="K18" s="17">
        <f t="shared" si="4"/>
        <v>0.90739314047378483</v>
      </c>
      <c r="L18" s="17">
        <f t="shared" si="4"/>
        <v>1.0060228296557179</v>
      </c>
      <c r="M18" s="17">
        <f t="shared" si="4"/>
        <v>1.1046525188376508</v>
      </c>
      <c r="N18" s="17">
        <f t="shared" si="4"/>
        <v>1.203282208019584</v>
      </c>
      <c r="O18" s="17">
        <f t="shared" si="4"/>
        <v>1.3019118972015171</v>
      </c>
      <c r="P18" s="17">
        <f t="shared" si="4"/>
        <v>1.4005415863834501</v>
      </c>
      <c r="Q18" s="17">
        <f t="shared" si="4"/>
        <v>1.4991712755653834</v>
      </c>
      <c r="R18" s="17">
        <f t="shared" si="4"/>
        <v>1.5978009647473166</v>
      </c>
      <c r="S18" s="17">
        <f t="shared" si="4"/>
        <v>1.6964306539292491</v>
      </c>
      <c r="T18" s="17">
        <f t="shared" si="4"/>
        <v>1.7950603431111827</v>
      </c>
      <c r="U18" s="17">
        <f t="shared" si="4"/>
        <v>1.8936900322931158</v>
      </c>
      <c r="V18" s="17">
        <f t="shared" si="4"/>
        <v>1.992319721475049</v>
      </c>
      <c r="W18" s="17">
        <f t="shared" si="4"/>
        <v>2.0909494106569819</v>
      </c>
      <c r="X18" s="17">
        <f t="shared" si="4"/>
        <v>2.1895790998389151</v>
      </c>
      <c r="Y18" s="17">
        <f t="shared" si="4"/>
        <v>2.2882087890208482</v>
      </c>
      <c r="Z18" s="17">
        <f t="shared" si="4"/>
        <v>2.3868384782027814</v>
      </c>
      <c r="AA18" s="17">
        <f t="shared" si="4"/>
        <v>2.4854681673847145</v>
      </c>
      <c r="AB18" s="17">
        <f t="shared" si="4"/>
        <v>2.5840978565666473</v>
      </c>
      <c r="AC18" s="17">
        <f t="shared" si="4"/>
        <v>2.6827275457485804</v>
      </c>
      <c r="AD18" s="17">
        <f t="shared" si="4"/>
        <v>2.781357234930514</v>
      </c>
      <c r="AE18" s="17">
        <f t="shared" si="4"/>
        <v>2.8799869241124467</v>
      </c>
      <c r="AF18" s="17">
        <f t="shared" si="4"/>
        <v>2.9786166132943799</v>
      </c>
      <c r="AG18" s="17">
        <f t="shared" si="4"/>
        <v>3.077246302476313</v>
      </c>
      <c r="AH18" s="17">
        <f t="shared" si="4"/>
        <v>3.1758759916582462</v>
      </c>
      <c r="AI18" s="17">
        <f t="shared" si="4"/>
        <v>3.2745056808401793</v>
      </c>
      <c r="AJ18" s="17">
        <f t="shared" si="4"/>
        <v>3.3731353700221129</v>
      </c>
      <c r="AK18" s="17">
        <f t="shared" si="4"/>
        <v>3.4717650592040452</v>
      </c>
      <c r="AL18" s="17">
        <f t="shared" si="4"/>
        <v>3.5703947483859784</v>
      </c>
      <c r="AM18" s="17">
        <f t="shared" si="4"/>
        <v>3.6690244375679115</v>
      </c>
      <c r="AN18" s="17">
        <f t="shared" si="4"/>
        <v>3.7676541267498447</v>
      </c>
      <c r="AO18" s="17">
        <f t="shared" si="4"/>
        <v>3.8662838159317778</v>
      </c>
      <c r="AP18" s="17">
        <f t="shared" si="4"/>
        <v>3.9649135051137114</v>
      </c>
      <c r="AQ18" s="17">
        <f t="shared" si="4"/>
        <v>4.0635431942956446</v>
      </c>
      <c r="AR18" s="17">
        <f t="shared" si="4"/>
        <v>4.1621728834775773</v>
      </c>
      <c r="AS18" s="17">
        <f t="shared" si="4"/>
        <v>4.26080257265951</v>
      </c>
      <c r="AT18" s="17">
        <f t="shared" si="4"/>
        <v>4.3594322618414436</v>
      </c>
      <c r="AU18" s="17">
        <f t="shared" si="4"/>
        <v>4.4580619510233763</v>
      </c>
      <c r="AV18" s="17">
        <f t="shared" si="4"/>
        <v>4.5566916402053099</v>
      </c>
      <c r="AW18" s="17">
        <f t="shared" si="4"/>
        <v>4.6553213293872426</v>
      </c>
      <c r="AX18" s="17">
        <f t="shared" si="4"/>
        <v>4.7539510185691762</v>
      </c>
      <c r="AY18" s="17">
        <f t="shared" si="4"/>
        <v>4.8525807077511089</v>
      </c>
      <c r="AZ18" s="17">
        <f t="shared" si="4"/>
        <v>4.9512103969330425</v>
      </c>
      <c r="BA18" s="17">
        <f t="shared" si="4"/>
        <v>5.0498400861149753</v>
      </c>
      <c r="BB18" s="17">
        <f t="shared" si="4"/>
        <v>5.1484697752969089</v>
      </c>
      <c r="BC18" s="17">
        <f t="shared" si="4"/>
        <v>5.2470994644788416</v>
      </c>
      <c r="BD18" s="17">
        <f t="shared" si="4"/>
        <v>5.3457291536607743</v>
      </c>
      <c r="BE18" s="17">
        <f t="shared" si="4"/>
        <v>5.4443588428427079</v>
      </c>
      <c r="BF18" s="17">
        <f t="shared" si="4"/>
        <v>5.5429885320246406</v>
      </c>
      <c r="BG18" s="17">
        <f t="shared" si="4"/>
        <v>5.6416182212065742</v>
      </c>
      <c r="BH18" s="17">
        <f t="shared" si="4"/>
        <v>5.7402479103885078</v>
      </c>
      <c r="BI18" s="17">
        <f t="shared" si="4"/>
        <v>5.8388775995704405</v>
      </c>
      <c r="BJ18" s="17">
        <f t="shared" si="4"/>
        <v>5.9375072887523732</v>
      </c>
    </row>
    <row r="19" spans="1:62" ht="18.75">
      <c r="A19" s="2">
        <v>6</v>
      </c>
      <c r="B19" s="17">
        <f t="shared" si="1"/>
        <v>1.9584609247195243E-2</v>
      </c>
      <c r="C19" s="17">
        <f t="shared" ref="C19:BJ23" si="5">($B$1/1000)*((C$5+1)/1.01325)*(273.15/(273.15+$A19))*$B$2</f>
        <v>0.11750765548317146</v>
      </c>
      <c r="D19" s="17">
        <f t="shared" si="5"/>
        <v>0.21543070171914766</v>
      </c>
      <c r="E19" s="17">
        <f t="shared" si="5"/>
        <v>0.31335374795512388</v>
      </c>
      <c r="F19" s="17">
        <f t="shared" si="5"/>
        <v>0.41127679419110008</v>
      </c>
      <c r="G19" s="17">
        <f t="shared" si="5"/>
        <v>0.50919984042707633</v>
      </c>
      <c r="H19" s="17">
        <f t="shared" si="5"/>
        <v>0.60712288666305247</v>
      </c>
      <c r="I19" s="17">
        <f t="shared" si="5"/>
        <v>0.70504593289902873</v>
      </c>
      <c r="J19" s="17">
        <f t="shared" si="5"/>
        <v>0.80296897913500487</v>
      </c>
      <c r="K19" s="17">
        <f t="shared" si="5"/>
        <v>0.90089202537098123</v>
      </c>
      <c r="L19" s="17">
        <f t="shared" si="5"/>
        <v>0.99881507160695759</v>
      </c>
      <c r="M19" s="17">
        <f t="shared" si="5"/>
        <v>1.0967381178429334</v>
      </c>
      <c r="N19" s="17">
        <f t="shared" si="5"/>
        <v>1.1946611640789098</v>
      </c>
      <c r="O19" s="17">
        <f t="shared" si="5"/>
        <v>1.2925842103148859</v>
      </c>
      <c r="P19" s="17">
        <f t="shared" si="5"/>
        <v>1.390507256550862</v>
      </c>
      <c r="Q19" s="17">
        <f t="shared" si="5"/>
        <v>1.4884303027868384</v>
      </c>
      <c r="R19" s="17">
        <f t="shared" si="5"/>
        <v>1.5863533490228146</v>
      </c>
      <c r="S19" s="17">
        <f t="shared" si="5"/>
        <v>1.6842763952587907</v>
      </c>
      <c r="T19" s="17">
        <f t="shared" si="5"/>
        <v>1.7821994414947673</v>
      </c>
      <c r="U19" s="17">
        <f t="shared" si="5"/>
        <v>1.8801224877307434</v>
      </c>
      <c r="V19" s="17">
        <f t="shared" si="5"/>
        <v>1.9780455339667196</v>
      </c>
      <c r="W19" s="17">
        <f t="shared" si="5"/>
        <v>2.0759685802026957</v>
      </c>
      <c r="X19" s="17">
        <f t="shared" si="5"/>
        <v>2.1738916264386718</v>
      </c>
      <c r="Y19" s="17">
        <f t="shared" si="5"/>
        <v>2.2718146726746484</v>
      </c>
      <c r="Z19" s="17">
        <f t="shared" si="5"/>
        <v>2.3697377189106246</v>
      </c>
      <c r="AA19" s="17">
        <f t="shared" si="5"/>
        <v>2.4676607651466007</v>
      </c>
      <c r="AB19" s="17">
        <f t="shared" si="5"/>
        <v>2.5655838113825764</v>
      </c>
      <c r="AC19" s="17">
        <f t="shared" si="5"/>
        <v>2.6635068576185525</v>
      </c>
      <c r="AD19" s="17">
        <f t="shared" si="5"/>
        <v>2.7614299038545291</v>
      </c>
      <c r="AE19" s="17">
        <f t="shared" si="5"/>
        <v>2.8593529500905053</v>
      </c>
      <c r="AF19" s="17">
        <f t="shared" si="5"/>
        <v>2.9572759963264819</v>
      </c>
      <c r="AG19" s="17">
        <f t="shared" si="5"/>
        <v>3.055199042562458</v>
      </c>
      <c r="AH19" s="17">
        <f t="shared" si="5"/>
        <v>3.1531220887984341</v>
      </c>
      <c r="AI19" s="17">
        <f t="shared" si="5"/>
        <v>3.2510451350344103</v>
      </c>
      <c r="AJ19" s="17">
        <f t="shared" si="5"/>
        <v>3.3489681812703864</v>
      </c>
      <c r="AK19" s="17">
        <f t="shared" si="5"/>
        <v>3.4468912275063626</v>
      </c>
      <c r="AL19" s="17">
        <f t="shared" si="5"/>
        <v>3.5448142737423392</v>
      </c>
      <c r="AM19" s="17">
        <f t="shared" si="5"/>
        <v>3.6427373199783153</v>
      </c>
      <c r="AN19" s="17">
        <f t="shared" si="5"/>
        <v>3.7406603662142914</v>
      </c>
      <c r="AO19" s="17">
        <f t="shared" si="5"/>
        <v>3.8385834124502676</v>
      </c>
      <c r="AP19" s="17">
        <f t="shared" si="5"/>
        <v>3.9365064586862437</v>
      </c>
      <c r="AQ19" s="17">
        <f t="shared" si="5"/>
        <v>4.0344295049222199</v>
      </c>
      <c r="AR19" s="17">
        <f t="shared" si="5"/>
        <v>4.1323525511581964</v>
      </c>
      <c r="AS19" s="17">
        <f t="shared" si="5"/>
        <v>4.2302755973941721</v>
      </c>
      <c r="AT19" s="17">
        <f t="shared" si="5"/>
        <v>4.3281986436301487</v>
      </c>
      <c r="AU19" s="17">
        <f t="shared" si="5"/>
        <v>4.4261216898661244</v>
      </c>
      <c r="AV19" s="17">
        <f t="shared" si="5"/>
        <v>4.524044736102101</v>
      </c>
      <c r="AW19" s="17">
        <f t="shared" si="5"/>
        <v>4.6219677823380776</v>
      </c>
      <c r="AX19" s="17">
        <f t="shared" si="5"/>
        <v>4.7198908285740533</v>
      </c>
      <c r="AY19" s="17">
        <f t="shared" si="5"/>
        <v>4.8178138748100299</v>
      </c>
      <c r="AZ19" s="17">
        <f t="shared" si="5"/>
        <v>4.9157369210460056</v>
      </c>
      <c r="BA19" s="17">
        <f t="shared" si="5"/>
        <v>5.0136599672819822</v>
      </c>
      <c r="BB19" s="17">
        <f t="shared" si="5"/>
        <v>5.1115830135179587</v>
      </c>
      <c r="BC19" s="17">
        <f t="shared" si="5"/>
        <v>5.2095060597539344</v>
      </c>
      <c r="BD19" s="17">
        <f t="shared" si="5"/>
        <v>5.3074291059899101</v>
      </c>
      <c r="BE19" s="17">
        <f t="shared" si="5"/>
        <v>5.4053521522258867</v>
      </c>
      <c r="BF19" s="17">
        <f t="shared" si="5"/>
        <v>5.5032751984618624</v>
      </c>
      <c r="BG19" s="17">
        <f t="shared" si="5"/>
        <v>5.601198244697839</v>
      </c>
      <c r="BH19" s="17">
        <f t="shared" si="5"/>
        <v>5.6991212909338156</v>
      </c>
      <c r="BI19" s="17">
        <f t="shared" si="5"/>
        <v>5.7970443371697922</v>
      </c>
      <c r="BJ19" s="17">
        <f t="shared" si="5"/>
        <v>5.8949673834057679</v>
      </c>
    </row>
    <row r="20" spans="1:62" ht="18.75">
      <c r="A20" s="2">
        <v>8</v>
      </c>
      <c r="B20" s="17">
        <f t="shared" si="1"/>
        <v>1.9445291379528905E-2</v>
      </c>
      <c r="C20" s="17">
        <f t="shared" si="5"/>
        <v>0.11667174827717344</v>
      </c>
      <c r="D20" s="17">
        <f t="shared" si="5"/>
        <v>0.21389820517481795</v>
      </c>
      <c r="E20" s="17">
        <f t="shared" si="5"/>
        <v>0.31112466207246248</v>
      </c>
      <c r="F20" s="17">
        <f t="shared" si="5"/>
        <v>0.40835111897010695</v>
      </c>
      <c r="G20" s="17">
        <f t="shared" si="5"/>
        <v>0.50557757586775154</v>
      </c>
      <c r="H20" s="17">
        <f t="shared" si="5"/>
        <v>0.60280403276539607</v>
      </c>
      <c r="I20" s="17">
        <f t="shared" si="5"/>
        <v>0.7000304896630406</v>
      </c>
      <c r="J20" s="17">
        <f t="shared" si="5"/>
        <v>0.79725694656068513</v>
      </c>
      <c r="K20" s="17">
        <f t="shared" si="5"/>
        <v>0.89448340345832977</v>
      </c>
      <c r="L20" s="17">
        <f t="shared" si="5"/>
        <v>0.99170986035597419</v>
      </c>
      <c r="M20" s="17">
        <f t="shared" si="5"/>
        <v>1.0889363172536186</v>
      </c>
      <c r="N20" s="17">
        <f t="shared" si="5"/>
        <v>1.1861627741512633</v>
      </c>
      <c r="O20" s="17">
        <f t="shared" si="5"/>
        <v>1.2833892310489077</v>
      </c>
      <c r="P20" s="17">
        <f t="shared" si="5"/>
        <v>1.3806156879465521</v>
      </c>
      <c r="Q20" s="17">
        <f t="shared" si="5"/>
        <v>1.477842144844197</v>
      </c>
      <c r="R20" s="17">
        <f t="shared" si="5"/>
        <v>1.5750686017418416</v>
      </c>
      <c r="S20" s="17">
        <f t="shared" si="5"/>
        <v>1.6722950586394856</v>
      </c>
      <c r="T20" s="17">
        <f t="shared" si="5"/>
        <v>1.7695215155371304</v>
      </c>
      <c r="U20" s="17">
        <f t="shared" si="5"/>
        <v>1.8667479724347751</v>
      </c>
      <c r="V20" s="17">
        <f t="shared" si="5"/>
        <v>1.9639744293324197</v>
      </c>
      <c r="W20" s="17">
        <f t="shared" si="5"/>
        <v>2.0612008862300639</v>
      </c>
      <c r="X20" s="17">
        <f t="shared" si="5"/>
        <v>2.1584273431277086</v>
      </c>
      <c r="Y20" s="17">
        <f t="shared" si="5"/>
        <v>2.2556538000253532</v>
      </c>
      <c r="Z20" s="17">
        <f t="shared" si="5"/>
        <v>2.3528802569229974</v>
      </c>
      <c r="AA20" s="17">
        <f t="shared" si="5"/>
        <v>2.450106713820642</v>
      </c>
      <c r="AB20" s="17">
        <f t="shared" si="5"/>
        <v>2.5473331707182862</v>
      </c>
      <c r="AC20" s="17">
        <f t="shared" si="5"/>
        <v>2.6445596276159309</v>
      </c>
      <c r="AD20" s="17">
        <f t="shared" si="5"/>
        <v>2.7417860845135755</v>
      </c>
      <c r="AE20" s="17">
        <f t="shared" si="5"/>
        <v>2.8390125414112202</v>
      </c>
      <c r="AF20" s="17">
        <f t="shared" si="5"/>
        <v>2.9362389983088648</v>
      </c>
      <c r="AG20" s="17">
        <f t="shared" si="5"/>
        <v>3.0334654552065095</v>
      </c>
      <c r="AH20" s="17">
        <f t="shared" si="5"/>
        <v>3.1306919121041537</v>
      </c>
      <c r="AI20" s="17">
        <f t="shared" si="5"/>
        <v>3.2279183690017987</v>
      </c>
      <c r="AJ20" s="17">
        <f t="shared" si="5"/>
        <v>3.3251448258994429</v>
      </c>
      <c r="AK20" s="17">
        <f t="shared" si="5"/>
        <v>3.4223712827970871</v>
      </c>
      <c r="AL20" s="17">
        <f t="shared" si="5"/>
        <v>3.5195977396947322</v>
      </c>
      <c r="AM20" s="17">
        <f t="shared" si="5"/>
        <v>3.6168241965923764</v>
      </c>
      <c r="AN20" s="17">
        <f t="shared" si="5"/>
        <v>3.7140506534900206</v>
      </c>
      <c r="AO20" s="17">
        <f t="shared" si="5"/>
        <v>3.8112771103876657</v>
      </c>
      <c r="AP20" s="17">
        <f t="shared" si="5"/>
        <v>3.9085035672853099</v>
      </c>
      <c r="AQ20" s="17">
        <f t="shared" si="5"/>
        <v>4.0057300241829541</v>
      </c>
      <c r="AR20" s="17">
        <f t="shared" si="5"/>
        <v>4.1029564810805992</v>
      </c>
      <c r="AS20" s="17">
        <f t="shared" si="5"/>
        <v>4.2001829379782434</v>
      </c>
      <c r="AT20" s="17">
        <f t="shared" si="5"/>
        <v>4.2974093948758885</v>
      </c>
      <c r="AU20" s="17">
        <f t="shared" si="5"/>
        <v>4.3946358517735327</v>
      </c>
      <c r="AV20" s="17">
        <f t="shared" si="5"/>
        <v>4.4918623086711769</v>
      </c>
      <c r="AW20" s="17">
        <f t="shared" si="5"/>
        <v>4.5890887655688219</v>
      </c>
      <c r="AX20" s="17">
        <f t="shared" si="5"/>
        <v>4.6863152224664661</v>
      </c>
      <c r="AY20" s="17">
        <f t="shared" si="5"/>
        <v>4.7835416793641103</v>
      </c>
      <c r="AZ20" s="17">
        <f t="shared" si="5"/>
        <v>4.8807681362617554</v>
      </c>
      <c r="BA20" s="17">
        <f t="shared" si="5"/>
        <v>4.9779945931593996</v>
      </c>
      <c r="BB20" s="17">
        <f t="shared" si="5"/>
        <v>5.0752210500570447</v>
      </c>
      <c r="BC20" s="17">
        <f t="shared" si="5"/>
        <v>5.1724475069546889</v>
      </c>
      <c r="BD20" s="17">
        <f t="shared" si="5"/>
        <v>5.2696739638523322</v>
      </c>
      <c r="BE20" s="17">
        <f t="shared" si="5"/>
        <v>5.3669004207499782</v>
      </c>
      <c r="BF20" s="17">
        <f t="shared" si="5"/>
        <v>5.4641268776476224</v>
      </c>
      <c r="BG20" s="17">
        <f t="shared" si="5"/>
        <v>5.5613533345452666</v>
      </c>
      <c r="BH20" s="17">
        <f t="shared" si="5"/>
        <v>5.6585797914429117</v>
      </c>
      <c r="BI20" s="17">
        <f t="shared" si="5"/>
        <v>5.7558062483405568</v>
      </c>
      <c r="BJ20" s="17">
        <f t="shared" si="5"/>
        <v>5.8530327052382001</v>
      </c>
    </row>
    <row r="21" spans="1:62" ht="18.75">
      <c r="A21" s="2">
        <v>10</v>
      </c>
      <c r="B21" s="17">
        <f t="shared" si="1"/>
        <v>1.930794162583278E-2</v>
      </c>
      <c r="C21" s="17">
        <f t="shared" si="5"/>
        <v>0.1158476497549967</v>
      </c>
      <c r="D21" s="17">
        <f t="shared" si="5"/>
        <v>0.2123873578841606</v>
      </c>
      <c r="E21" s="17">
        <f t="shared" si="5"/>
        <v>0.30892706601332448</v>
      </c>
      <c r="F21" s="17">
        <f t="shared" si="5"/>
        <v>0.40546677414248838</v>
      </c>
      <c r="G21" s="17">
        <f t="shared" si="5"/>
        <v>0.50200648227165234</v>
      </c>
      <c r="H21" s="17">
        <f t="shared" si="5"/>
        <v>0.59854619040081636</v>
      </c>
      <c r="I21" s="17">
        <f t="shared" si="5"/>
        <v>0.69508589852998015</v>
      </c>
      <c r="J21" s="17">
        <f t="shared" si="5"/>
        <v>0.79162560665914394</v>
      </c>
      <c r="K21" s="17">
        <f t="shared" si="5"/>
        <v>0.88816531478830818</v>
      </c>
      <c r="L21" s="17">
        <f t="shared" si="5"/>
        <v>0.98470502291747197</v>
      </c>
      <c r="M21" s="17">
        <f t="shared" si="5"/>
        <v>1.0812447310466358</v>
      </c>
      <c r="N21" s="17">
        <f t="shared" si="5"/>
        <v>1.1777844391757999</v>
      </c>
      <c r="O21" s="17">
        <f t="shared" si="5"/>
        <v>1.2743241473049636</v>
      </c>
      <c r="P21" s="17">
        <f t="shared" si="5"/>
        <v>1.3708638554341275</v>
      </c>
      <c r="Q21" s="17">
        <f t="shared" si="5"/>
        <v>1.4674035635632916</v>
      </c>
      <c r="R21" s="17">
        <f t="shared" si="5"/>
        <v>1.5639432716924555</v>
      </c>
      <c r="S21" s="17">
        <f t="shared" si="5"/>
        <v>1.660482979821619</v>
      </c>
      <c r="T21" s="17">
        <f t="shared" si="5"/>
        <v>1.7570226879507833</v>
      </c>
      <c r="U21" s="17">
        <f t="shared" si="5"/>
        <v>1.8535623960799472</v>
      </c>
      <c r="V21" s="17">
        <f t="shared" si="5"/>
        <v>1.9501021042091109</v>
      </c>
      <c r="W21" s="17">
        <f t="shared" si="5"/>
        <v>2.046641812338275</v>
      </c>
      <c r="X21" s="17">
        <f t="shared" si="5"/>
        <v>2.1431815204674387</v>
      </c>
      <c r="Y21" s="17">
        <f t="shared" si="5"/>
        <v>2.2397212285966028</v>
      </c>
      <c r="Z21" s="17">
        <f t="shared" si="5"/>
        <v>2.336260936725767</v>
      </c>
      <c r="AA21" s="17">
        <f t="shared" si="5"/>
        <v>2.4328006448549306</v>
      </c>
      <c r="AB21" s="17">
        <f t="shared" si="5"/>
        <v>2.5293403529840939</v>
      </c>
      <c r="AC21" s="17">
        <f t="shared" si="5"/>
        <v>2.625880061113258</v>
      </c>
      <c r="AD21" s="17">
        <f t="shared" si="5"/>
        <v>2.7224197692424221</v>
      </c>
      <c r="AE21" s="17">
        <f t="shared" si="5"/>
        <v>2.8189594773715863</v>
      </c>
      <c r="AF21" s="17">
        <f t="shared" si="5"/>
        <v>2.9154991855007504</v>
      </c>
      <c r="AG21" s="17">
        <f t="shared" si="5"/>
        <v>3.0120388936299141</v>
      </c>
      <c r="AH21" s="17">
        <f t="shared" si="5"/>
        <v>3.1085786017590777</v>
      </c>
      <c r="AI21" s="17">
        <f t="shared" si="5"/>
        <v>3.2051183098882419</v>
      </c>
      <c r="AJ21" s="17">
        <f t="shared" si="5"/>
        <v>3.301658018017406</v>
      </c>
      <c r="AK21" s="17">
        <f t="shared" si="5"/>
        <v>3.3981977261465697</v>
      </c>
      <c r="AL21" s="17">
        <f t="shared" si="5"/>
        <v>3.4947374342757338</v>
      </c>
      <c r="AM21" s="17">
        <f t="shared" si="5"/>
        <v>3.5912771424048979</v>
      </c>
      <c r="AN21" s="17">
        <f t="shared" si="5"/>
        <v>3.6878168505340616</v>
      </c>
      <c r="AO21" s="17">
        <f t="shared" si="5"/>
        <v>3.7843565586632257</v>
      </c>
      <c r="AP21" s="17">
        <f t="shared" si="5"/>
        <v>3.880896266792389</v>
      </c>
      <c r="AQ21" s="17">
        <f t="shared" si="5"/>
        <v>3.9774359749215531</v>
      </c>
      <c r="AR21" s="17">
        <f t="shared" si="5"/>
        <v>4.0739756830507172</v>
      </c>
      <c r="AS21" s="17">
        <f t="shared" si="5"/>
        <v>4.1705153911798805</v>
      </c>
      <c r="AT21" s="17">
        <f t="shared" si="5"/>
        <v>4.2670550993090446</v>
      </c>
      <c r="AU21" s="17">
        <f t="shared" si="5"/>
        <v>4.3635948074382087</v>
      </c>
      <c r="AV21" s="17">
        <f t="shared" si="5"/>
        <v>4.4601345155673728</v>
      </c>
      <c r="AW21" s="17">
        <f t="shared" si="5"/>
        <v>4.556674223696537</v>
      </c>
      <c r="AX21" s="17">
        <f t="shared" si="5"/>
        <v>4.6532139318257011</v>
      </c>
      <c r="AY21" s="17">
        <f t="shared" si="5"/>
        <v>4.7497536399548643</v>
      </c>
      <c r="AZ21" s="17">
        <f t="shared" si="5"/>
        <v>4.8462933480840285</v>
      </c>
      <c r="BA21" s="17">
        <f t="shared" si="5"/>
        <v>4.9428330562131917</v>
      </c>
      <c r="BB21" s="17">
        <f t="shared" si="5"/>
        <v>5.0393727643423567</v>
      </c>
      <c r="BC21" s="17">
        <f t="shared" si="5"/>
        <v>5.1359124724715199</v>
      </c>
      <c r="BD21" s="17">
        <f t="shared" si="5"/>
        <v>5.2324521806006832</v>
      </c>
      <c r="BE21" s="17">
        <f t="shared" si="5"/>
        <v>5.3289918887298482</v>
      </c>
      <c r="BF21" s="17">
        <f t="shared" si="5"/>
        <v>5.4255315968590114</v>
      </c>
      <c r="BG21" s="17">
        <f t="shared" si="5"/>
        <v>5.5220713049881756</v>
      </c>
      <c r="BH21" s="17">
        <f t="shared" si="5"/>
        <v>5.6186110131173397</v>
      </c>
      <c r="BI21" s="17">
        <f t="shared" si="5"/>
        <v>5.7151507212465047</v>
      </c>
      <c r="BJ21" s="17">
        <f t="shared" si="5"/>
        <v>5.8116904293756679</v>
      </c>
    </row>
    <row r="22" spans="1:62" ht="18.75">
      <c r="A22" s="2">
        <v>12</v>
      </c>
      <c r="B22" s="17">
        <f t="shared" si="1"/>
        <v>1.9172518573924432E-2</v>
      </c>
      <c r="C22" s="17">
        <f t="shared" si="5"/>
        <v>0.11503511144354658</v>
      </c>
      <c r="D22" s="17">
        <f t="shared" si="5"/>
        <v>0.21089770431316879</v>
      </c>
      <c r="E22" s="17">
        <f t="shared" si="5"/>
        <v>0.30676029718279091</v>
      </c>
      <c r="F22" s="17">
        <f t="shared" si="5"/>
        <v>0.40262289005241308</v>
      </c>
      <c r="G22" s="17">
        <f t="shared" si="5"/>
        <v>0.49848548292203526</v>
      </c>
      <c r="H22" s="17">
        <f t="shared" si="5"/>
        <v>0.59434807579165738</v>
      </c>
      <c r="I22" s="17">
        <f t="shared" si="5"/>
        <v>0.69021066866127967</v>
      </c>
      <c r="J22" s="17">
        <f t="shared" si="5"/>
        <v>0.78607326153090162</v>
      </c>
      <c r="K22" s="17">
        <f t="shared" si="5"/>
        <v>0.88193585440052391</v>
      </c>
      <c r="L22" s="17">
        <f t="shared" si="5"/>
        <v>0.9777984472701462</v>
      </c>
      <c r="M22" s="17">
        <f t="shared" si="5"/>
        <v>1.0736610401397682</v>
      </c>
      <c r="N22" s="17">
        <f t="shared" si="5"/>
        <v>1.1695236330093903</v>
      </c>
      <c r="O22" s="17">
        <f t="shared" si="5"/>
        <v>1.2653862258790125</v>
      </c>
      <c r="P22" s="17">
        <f t="shared" si="5"/>
        <v>1.3612488187486347</v>
      </c>
      <c r="Q22" s="17">
        <f t="shared" si="5"/>
        <v>1.4571114116182569</v>
      </c>
      <c r="R22" s="17">
        <f t="shared" si="5"/>
        <v>1.552974004487879</v>
      </c>
      <c r="S22" s="17">
        <f t="shared" si="5"/>
        <v>1.6488365973575008</v>
      </c>
      <c r="T22" s="17">
        <f t="shared" si="5"/>
        <v>1.7446991902271234</v>
      </c>
      <c r="U22" s="17">
        <f t="shared" si="5"/>
        <v>1.8405617830967453</v>
      </c>
      <c r="V22" s="17">
        <f t="shared" si="5"/>
        <v>1.936424375966368</v>
      </c>
      <c r="W22" s="17">
        <f t="shared" si="5"/>
        <v>2.0322869688359901</v>
      </c>
      <c r="X22" s="17">
        <f t="shared" si="5"/>
        <v>2.1281495617056119</v>
      </c>
      <c r="Y22" s="17">
        <f t="shared" si="5"/>
        <v>2.224012154575234</v>
      </c>
      <c r="Z22" s="17">
        <f t="shared" si="5"/>
        <v>2.3198747474448562</v>
      </c>
      <c r="AA22" s="17">
        <f t="shared" si="5"/>
        <v>2.4157373403144784</v>
      </c>
      <c r="AB22" s="17">
        <f t="shared" si="5"/>
        <v>2.5115999331841006</v>
      </c>
      <c r="AC22" s="17">
        <f t="shared" si="5"/>
        <v>2.6074625260537228</v>
      </c>
      <c r="AD22" s="17">
        <f t="shared" si="5"/>
        <v>2.7033251189233449</v>
      </c>
      <c r="AE22" s="17">
        <f t="shared" si="5"/>
        <v>2.7991877117929671</v>
      </c>
      <c r="AF22" s="17">
        <f t="shared" si="5"/>
        <v>2.8950503046625893</v>
      </c>
      <c r="AG22" s="17">
        <f t="shared" si="5"/>
        <v>2.9909128975322115</v>
      </c>
      <c r="AH22" s="17">
        <f t="shared" si="5"/>
        <v>3.0867754904018336</v>
      </c>
      <c r="AI22" s="17">
        <f t="shared" si="5"/>
        <v>3.1826380832714554</v>
      </c>
      <c r="AJ22" s="17">
        <f t="shared" si="5"/>
        <v>3.278500676141078</v>
      </c>
      <c r="AK22" s="17">
        <f t="shared" si="5"/>
        <v>3.3743632690107006</v>
      </c>
      <c r="AL22" s="17">
        <f t="shared" si="5"/>
        <v>3.4702258618803223</v>
      </c>
      <c r="AM22" s="17">
        <f t="shared" si="5"/>
        <v>3.5660884547499445</v>
      </c>
      <c r="AN22" s="17">
        <f t="shared" si="5"/>
        <v>3.6619510476195662</v>
      </c>
      <c r="AO22" s="17">
        <f t="shared" si="5"/>
        <v>3.7578136404891889</v>
      </c>
      <c r="AP22" s="17">
        <f t="shared" si="5"/>
        <v>3.8536762333588106</v>
      </c>
      <c r="AQ22" s="17">
        <f t="shared" si="5"/>
        <v>3.9495388262284332</v>
      </c>
      <c r="AR22" s="17">
        <f t="shared" si="5"/>
        <v>4.0454014190980558</v>
      </c>
      <c r="AS22" s="17">
        <f t="shared" si="5"/>
        <v>4.1412640119676771</v>
      </c>
      <c r="AT22" s="17">
        <f t="shared" si="5"/>
        <v>4.2371266048372993</v>
      </c>
      <c r="AU22" s="17">
        <f t="shared" si="5"/>
        <v>4.3329891977069215</v>
      </c>
      <c r="AV22" s="17">
        <f t="shared" si="5"/>
        <v>4.4288517905765437</v>
      </c>
      <c r="AW22" s="17">
        <f t="shared" si="5"/>
        <v>4.5247143834461667</v>
      </c>
      <c r="AX22" s="17">
        <f t="shared" si="5"/>
        <v>4.620576976315788</v>
      </c>
      <c r="AY22" s="17">
        <f t="shared" si="5"/>
        <v>4.7164395691854102</v>
      </c>
      <c r="AZ22" s="17">
        <f t="shared" si="5"/>
        <v>4.8123021620550324</v>
      </c>
      <c r="BA22" s="17">
        <f t="shared" si="5"/>
        <v>4.9081647549246545</v>
      </c>
      <c r="BB22" s="17">
        <f t="shared" si="5"/>
        <v>5.0040273477942767</v>
      </c>
      <c r="BC22" s="17">
        <f t="shared" si="5"/>
        <v>5.0998899406638989</v>
      </c>
      <c r="BD22" s="17">
        <f t="shared" si="5"/>
        <v>5.1957525335335211</v>
      </c>
      <c r="BE22" s="17">
        <f t="shared" si="5"/>
        <v>5.2916151264031432</v>
      </c>
      <c r="BF22" s="17">
        <f t="shared" si="5"/>
        <v>5.3874777192727654</v>
      </c>
      <c r="BG22" s="17">
        <f t="shared" si="5"/>
        <v>5.4833403121423876</v>
      </c>
      <c r="BH22" s="17">
        <f t="shared" si="5"/>
        <v>5.5792029050120098</v>
      </c>
      <c r="BI22" s="17">
        <f t="shared" si="5"/>
        <v>5.6750654978816328</v>
      </c>
      <c r="BJ22" s="17">
        <f t="shared" si="5"/>
        <v>5.7709280907512541</v>
      </c>
    </row>
    <row r="23" spans="1:62" ht="18.75">
      <c r="A23" s="2">
        <v>14</v>
      </c>
      <c r="B23" s="17">
        <f t="shared" si="1"/>
        <v>1.9038981965364972E-2</v>
      </c>
      <c r="C23" s="17">
        <f t="shared" si="5"/>
        <v>0.11423389179218983</v>
      </c>
      <c r="D23" s="17">
        <f t="shared" si="5"/>
        <v>0.2094288016190147</v>
      </c>
      <c r="E23" s="17">
        <f t="shared" si="5"/>
        <v>0.30462371144583955</v>
      </c>
      <c r="F23" s="17">
        <f t="shared" si="5"/>
        <v>0.39981862127266438</v>
      </c>
      <c r="G23" s="17">
        <f t="shared" si="5"/>
        <v>0.49501353109948931</v>
      </c>
      <c r="H23" s="17">
        <f t="shared" si="5"/>
        <v>0.59020844092631419</v>
      </c>
      <c r="I23" s="17">
        <f t="shared" si="5"/>
        <v>0.68540335075313907</v>
      </c>
      <c r="J23" s="17">
        <f t="shared" si="5"/>
        <v>0.78059826057996384</v>
      </c>
      <c r="K23" s="17">
        <f t="shared" si="5"/>
        <v>0.87579317040678895</v>
      </c>
      <c r="L23" s="17">
        <f t="shared" si="5"/>
        <v>0.97098808023361372</v>
      </c>
      <c r="M23" s="17">
        <f t="shared" si="5"/>
        <v>1.0661829900604385</v>
      </c>
      <c r="N23" s="17">
        <f t="shared" si="5"/>
        <v>1.1613778998872635</v>
      </c>
      <c r="O23" s="17">
        <f t="shared" si="5"/>
        <v>1.2565728097140882</v>
      </c>
      <c r="P23" s="17">
        <f t="shared" si="5"/>
        <v>1.351767719540913</v>
      </c>
      <c r="Q23" s="17">
        <f t="shared" si="5"/>
        <v>1.446962629367738</v>
      </c>
      <c r="R23" s="17">
        <f t="shared" ref="C23:BJ27" si="6">($B$1/1000)*((R$5+1)/1.01325)*(273.15/(273.15+$A23))*$B$2</f>
        <v>1.5421575391945628</v>
      </c>
      <c r="S23" s="17">
        <f t="shared" si="6"/>
        <v>1.6373524490213873</v>
      </c>
      <c r="T23" s="17">
        <f t="shared" si="6"/>
        <v>1.7325473588482128</v>
      </c>
      <c r="U23" s="17">
        <f t="shared" si="6"/>
        <v>1.8277422686750373</v>
      </c>
      <c r="V23" s="17">
        <f t="shared" si="6"/>
        <v>1.9229371785018623</v>
      </c>
      <c r="W23" s="17">
        <f t="shared" si="6"/>
        <v>2.0181320883286875</v>
      </c>
      <c r="X23" s="17">
        <f t="shared" si="6"/>
        <v>2.1133269981555118</v>
      </c>
      <c r="Y23" s="17">
        <f t="shared" si="6"/>
        <v>2.2085219079823371</v>
      </c>
      <c r="Z23" s="17">
        <f t="shared" si="6"/>
        <v>2.3037168178091618</v>
      </c>
      <c r="AA23" s="17">
        <f t="shared" si="6"/>
        <v>2.3989117276359866</v>
      </c>
      <c r="AB23" s="17">
        <f t="shared" si="6"/>
        <v>2.4941066374628114</v>
      </c>
      <c r="AC23" s="17">
        <f t="shared" si="6"/>
        <v>2.5893015472896361</v>
      </c>
      <c r="AD23" s="17">
        <f t="shared" si="6"/>
        <v>2.6844964571164613</v>
      </c>
      <c r="AE23" s="17">
        <f t="shared" si="6"/>
        <v>2.7796913669432861</v>
      </c>
      <c r="AF23" s="17">
        <f t="shared" si="6"/>
        <v>2.8748862767701109</v>
      </c>
      <c r="AG23" s="17">
        <f t="shared" si="6"/>
        <v>2.9700811865969361</v>
      </c>
      <c r="AH23" s="17">
        <f t="shared" si="6"/>
        <v>3.0652760964237609</v>
      </c>
      <c r="AI23" s="17">
        <f t="shared" si="6"/>
        <v>3.1604710062505856</v>
      </c>
      <c r="AJ23" s="17">
        <f t="shared" si="6"/>
        <v>3.2556659160774108</v>
      </c>
      <c r="AK23" s="17">
        <f t="shared" si="6"/>
        <v>3.3508608259042352</v>
      </c>
      <c r="AL23" s="17">
        <f t="shared" si="6"/>
        <v>3.4460557357310599</v>
      </c>
      <c r="AM23" s="17">
        <f t="shared" si="6"/>
        <v>3.5412506455578852</v>
      </c>
      <c r="AN23" s="17">
        <f t="shared" si="6"/>
        <v>3.6364455553847099</v>
      </c>
      <c r="AO23" s="17">
        <f t="shared" si="6"/>
        <v>3.7316404652115351</v>
      </c>
      <c r="AP23" s="17">
        <f t="shared" si="6"/>
        <v>3.8268353750383595</v>
      </c>
      <c r="AQ23" s="17">
        <f t="shared" si="6"/>
        <v>3.9220302848651842</v>
      </c>
      <c r="AR23" s="17">
        <f t="shared" si="6"/>
        <v>4.017225194692009</v>
      </c>
      <c r="AS23" s="17">
        <f t="shared" si="6"/>
        <v>4.1124201045188347</v>
      </c>
      <c r="AT23" s="17">
        <f t="shared" si="6"/>
        <v>4.2076150143456594</v>
      </c>
      <c r="AU23" s="17">
        <f t="shared" si="6"/>
        <v>4.3028099241724833</v>
      </c>
      <c r="AV23" s="17">
        <f t="shared" si="6"/>
        <v>4.398004833999309</v>
      </c>
      <c r="AW23" s="17">
        <f t="shared" si="6"/>
        <v>4.4931997438261337</v>
      </c>
      <c r="AX23" s="17">
        <f t="shared" si="6"/>
        <v>4.5883946536529585</v>
      </c>
      <c r="AY23" s="17">
        <f t="shared" si="6"/>
        <v>4.6835895634797833</v>
      </c>
      <c r="AZ23" s="17">
        <f t="shared" si="6"/>
        <v>4.778784473306608</v>
      </c>
      <c r="BA23" s="17">
        <f t="shared" si="6"/>
        <v>4.8739793831334328</v>
      </c>
      <c r="BB23" s="17">
        <f t="shared" si="6"/>
        <v>4.9691742929602585</v>
      </c>
      <c r="BC23" s="17">
        <f t="shared" si="6"/>
        <v>5.0643692027870832</v>
      </c>
      <c r="BD23" s="17">
        <f t="shared" si="6"/>
        <v>5.1595641126139071</v>
      </c>
      <c r="BE23" s="17">
        <f t="shared" si="6"/>
        <v>5.2547590224407319</v>
      </c>
      <c r="BF23" s="17">
        <f t="shared" si="6"/>
        <v>5.3499539322675576</v>
      </c>
      <c r="BG23" s="17">
        <f t="shared" si="6"/>
        <v>5.4451488420943823</v>
      </c>
      <c r="BH23" s="17">
        <f t="shared" si="6"/>
        <v>5.5403437519212071</v>
      </c>
      <c r="BI23" s="17">
        <f t="shared" si="6"/>
        <v>5.6355386617480328</v>
      </c>
      <c r="BJ23" s="17">
        <f t="shared" si="6"/>
        <v>5.7307335715748566</v>
      </c>
    </row>
    <row r="24" spans="1:62" ht="18.75">
      <c r="A24" s="2">
        <v>16</v>
      </c>
      <c r="B24" s="17">
        <f t="shared" si="1"/>
        <v>1.890729265555785E-2</v>
      </c>
      <c r="C24" s="17">
        <f t="shared" si="6"/>
        <v>0.1134437559333471</v>
      </c>
      <c r="D24" s="17">
        <f t="shared" si="6"/>
        <v>0.20798021921113632</v>
      </c>
      <c r="E24" s="17">
        <f t="shared" si="6"/>
        <v>0.3025166824889256</v>
      </c>
      <c r="F24" s="17">
        <f t="shared" si="6"/>
        <v>0.39705314576671474</v>
      </c>
      <c r="G24" s="17">
        <f t="shared" si="6"/>
        <v>0.49158960904450411</v>
      </c>
      <c r="H24" s="17">
        <f t="shared" si="6"/>
        <v>0.5861260723222933</v>
      </c>
      <c r="I24" s="17">
        <f t="shared" si="6"/>
        <v>0.68066253560008261</v>
      </c>
      <c r="J24" s="17">
        <f t="shared" si="6"/>
        <v>0.7751989988778718</v>
      </c>
      <c r="K24" s="17">
        <f t="shared" si="6"/>
        <v>0.86973546215566122</v>
      </c>
      <c r="L24" s="17">
        <f t="shared" si="6"/>
        <v>0.96427192543345042</v>
      </c>
      <c r="M24" s="17">
        <f t="shared" si="6"/>
        <v>1.0588083887112394</v>
      </c>
      <c r="N24" s="17">
        <f t="shared" si="6"/>
        <v>1.1533448519890288</v>
      </c>
      <c r="O24" s="17">
        <f t="shared" si="6"/>
        <v>1.247881315266818</v>
      </c>
      <c r="P24" s="17">
        <f t="shared" si="6"/>
        <v>1.3424177785446072</v>
      </c>
      <c r="Q24" s="17">
        <f t="shared" si="6"/>
        <v>1.4369542418223966</v>
      </c>
      <c r="R24" s="17">
        <f t="shared" si="6"/>
        <v>1.5314907051001858</v>
      </c>
      <c r="S24" s="17">
        <f t="shared" si="6"/>
        <v>1.6260271683779748</v>
      </c>
      <c r="T24" s="17">
        <f t="shared" si="6"/>
        <v>1.7205636316557644</v>
      </c>
      <c r="U24" s="17">
        <f t="shared" si="6"/>
        <v>1.8151000949335536</v>
      </c>
      <c r="V24" s="17">
        <f t="shared" si="6"/>
        <v>1.9096365582113426</v>
      </c>
      <c r="W24" s="17">
        <f t="shared" si="6"/>
        <v>2.004173021489132</v>
      </c>
      <c r="X24" s="17">
        <f t="shared" si="6"/>
        <v>2.0987094847669212</v>
      </c>
      <c r="Y24" s="17">
        <f t="shared" si="6"/>
        <v>2.1932459480447104</v>
      </c>
      <c r="Z24" s="17">
        <f t="shared" si="6"/>
        <v>2.2877824113224996</v>
      </c>
      <c r="AA24" s="17">
        <f t="shared" si="6"/>
        <v>2.3823188746002888</v>
      </c>
      <c r="AB24" s="17">
        <f t="shared" si="6"/>
        <v>2.476855337878078</v>
      </c>
      <c r="AC24" s="17">
        <f t="shared" si="6"/>
        <v>2.5713918011558672</v>
      </c>
      <c r="AD24" s="17">
        <f t="shared" si="6"/>
        <v>2.6659282644336564</v>
      </c>
      <c r="AE24" s="17">
        <f t="shared" si="6"/>
        <v>2.760464727711446</v>
      </c>
      <c r="AF24" s="17">
        <f t="shared" si="6"/>
        <v>2.8550011909892352</v>
      </c>
      <c r="AG24" s="17">
        <f t="shared" si="6"/>
        <v>2.9495376542670244</v>
      </c>
      <c r="AH24" s="17">
        <f t="shared" si="6"/>
        <v>3.0440741175448136</v>
      </c>
      <c r="AI24" s="17">
        <f t="shared" si="6"/>
        <v>3.1386105808226028</v>
      </c>
      <c r="AJ24" s="17">
        <f t="shared" si="6"/>
        <v>3.233147044100392</v>
      </c>
      <c r="AK24" s="17">
        <f t="shared" si="6"/>
        <v>3.3276835073781812</v>
      </c>
      <c r="AL24" s="17">
        <f t="shared" si="6"/>
        <v>3.4222199706559704</v>
      </c>
      <c r="AM24" s="17">
        <f t="shared" si="6"/>
        <v>3.5167564339337596</v>
      </c>
      <c r="AN24" s="17">
        <f t="shared" si="6"/>
        <v>3.6112928972115492</v>
      </c>
      <c r="AO24" s="17">
        <f t="shared" si="6"/>
        <v>3.7058293604893384</v>
      </c>
      <c r="AP24" s="17">
        <f t="shared" si="6"/>
        <v>3.8003658237671276</v>
      </c>
      <c r="AQ24" s="17">
        <f t="shared" si="6"/>
        <v>3.8949022870449168</v>
      </c>
      <c r="AR24" s="17">
        <f t="shared" si="6"/>
        <v>3.989438750322706</v>
      </c>
      <c r="AS24" s="17">
        <f t="shared" si="6"/>
        <v>4.0839752136004952</v>
      </c>
      <c r="AT24" s="17">
        <f t="shared" si="6"/>
        <v>4.1785116768782844</v>
      </c>
      <c r="AU24" s="17">
        <f t="shared" si="6"/>
        <v>4.2730481401560736</v>
      </c>
      <c r="AV24" s="17">
        <f t="shared" si="6"/>
        <v>4.3675846034338628</v>
      </c>
      <c r="AW24" s="17">
        <f t="shared" si="6"/>
        <v>4.462121066711652</v>
      </c>
      <c r="AX24" s="17">
        <f t="shared" si="6"/>
        <v>4.5566575299894412</v>
      </c>
      <c r="AY24" s="17">
        <f t="shared" si="6"/>
        <v>4.6511939932672304</v>
      </c>
      <c r="AZ24" s="17">
        <f t="shared" si="6"/>
        <v>4.7457304565450205</v>
      </c>
      <c r="BA24" s="17">
        <f t="shared" si="6"/>
        <v>4.8402669198228097</v>
      </c>
      <c r="BB24" s="17">
        <f t="shared" si="6"/>
        <v>4.9348033831005989</v>
      </c>
      <c r="BC24" s="17">
        <f t="shared" si="6"/>
        <v>5.029339846378388</v>
      </c>
      <c r="BD24" s="17">
        <f t="shared" si="6"/>
        <v>5.1238763096561764</v>
      </c>
      <c r="BE24" s="17">
        <f t="shared" si="6"/>
        <v>5.2184127729339664</v>
      </c>
      <c r="BF24" s="17">
        <f t="shared" si="6"/>
        <v>5.3129492362117556</v>
      </c>
      <c r="BG24" s="17">
        <f t="shared" si="6"/>
        <v>5.4074856994895448</v>
      </c>
      <c r="BH24" s="17">
        <f t="shared" si="6"/>
        <v>5.502022162767334</v>
      </c>
      <c r="BI24" s="17">
        <f t="shared" si="6"/>
        <v>5.5965586260451232</v>
      </c>
      <c r="BJ24" s="17">
        <f t="shared" si="6"/>
        <v>5.6910950893229124</v>
      </c>
    </row>
    <row r="25" spans="1:62" ht="18.75">
      <c r="A25" s="2">
        <v>18</v>
      </c>
      <c r="B25" s="17">
        <f t="shared" si="1"/>
        <v>1.8777412575492192E-2</v>
      </c>
      <c r="C25" s="17">
        <f t="shared" si="6"/>
        <v>0.11266447545295316</v>
      </c>
      <c r="D25" s="17">
        <f t="shared" si="6"/>
        <v>0.20655153833041412</v>
      </c>
      <c r="E25" s="17">
        <f t="shared" si="6"/>
        <v>0.30043860120787508</v>
      </c>
      <c r="F25" s="17">
        <f t="shared" si="6"/>
        <v>0.39432566408533598</v>
      </c>
      <c r="G25" s="17">
        <f t="shared" si="6"/>
        <v>0.48821272696279705</v>
      </c>
      <c r="H25" s="17">
        <f t="shared" si="6"/>
        <v>0.58209978984025801</v>
      </c>
      <c r="I25" s="17">
        <f t="shared" si="6"/>
        <v>0.67598685271771897</v>
      </c>
      <c r="J25" s="17">
        <f t="shared" si="6"/>
        <v>0.76987391559517981</v>
      </c>
      <c r="K25" s="17">
        <f t="shared" si="6"/>
        <v>0.86376097847264099</v>
      </c>
      <c r="L25" s="17">
        <f t="shared" si="6"/>
        <v>0.95764804135010195</v>
      </c>
      <c r="M25" s="17">
        <f t="shared" si="6"/>
        <v>1.0515351042275627</v>
      </c>
      <c r="N25" s="17">
        <f t="shared" si="6"/>
        <v>1.145422167105024</v>
      </c>
      <c r="O25" s="17">
        <f t="shared" si="6"/>
        <v>1.2393092299824848</v>
      </c>
      <c r="P25" s="17">
        <f t="shared" si="6"/>
        <v>1.3331962928599457</v>
      </c>
      <c r="Q25" s="17">
        <f t="shared" si="6"/>
        <v>1.4270833557374067</v>
      </c>
      <c r="R25" s="17">
        <f t="shared" si="6"/>
        <v>1.5209704186148676</v>
      </c>
      <c r="S25" s="17">
        <f t="shared" si="6"/>
        <v>1.6148574814923282</v>
      </c>
      <c r="T25" s="17">
        <f t="shared" si="6"/>
        <v>1.7087445443697897</v>
      </c>
      <c r="U25" s="17">
        <f t="shared" si="6"/>
        <v>1.8026316072472506</v>
      </c>
      <c r="V25" s="17">
        <f t="shared" si="6"/>
        <v>1.8965186701247114</v>
      </c>
      <c r="W25" s="17">
        <f t="shared" si="6"/>
        <v>1.9904057330021725</v>
      </c>
      <c r="X25" s="17">
        <f t="shared" si="6"/>
        <v>2.0842927958796333</v>
      </c>
      <c r="Y25" s="17">
        <f t="shared" si="6"/>
        <v>2.1781798587570944</v>
      </c>
      <c r="Z25" s="17">
        <f t="shared" si="6"/>
        <v>2.2720669216345555</v>
      </c>
      <c r="AA25" s="17">
        <f t="shared" si="6"/>
        <v>2.3659539845120166</v>
      </c>
      <c r="AB25" s="17">
        <f t="shared" si="6"/>
        <v>2.4598410473894767</v>
      </c>
      <c r="AC25" s="17">
        <f t="shared" si="6"/>
        <v>2.5537281102669382</v>
      </c>
      <c r="AD25" s="17">
        <f t="shared" si="6"/>
        <v>2.6476151731443993</v>
      </c>
      <c r="AE25" s="17">
        <f t="shared" si="6"/>
        <v>2.7415022360218604</v>
      </c>
      <c r="AF25" s="17">
        <f t="shared" si="6"/>
        <v>2.835389298899321</v>
      </c>
      <c r="AG25" s="17">
        <f t="shared" si="6"/>
        <v>2.9292763617767821</v>
      </c>
      <c r="AH25" s="17">
        <f t="shared" si="6"/>
        <v>3.0231634246542431</v>
      </c>
      <c r="AI25" s="17">
        <f t="shared" si="6"/>
        <v>3.1170504875317038</v>
      </c>
      <c r="AJ25" s="17">
        <f t="shared" si="6"/>
        <v>3.2109375504091653</v>
      </c>
      <c r="AK25" s="17">
        <f t="shared" si="6"/>
        <v>3.3048246132866259</v>
      </c>
      <c r="AL25" s="17">
        <f t="shared" si="6"/>
        <v>3.3987116761640865</v>
      </c>
      <c r="AM25" s="17">
        <f t="shared" si="6"/>
        <v>3.4925987390415481</v>
      </c>
      <c r="AN25" s="17">
        <f t="shared" si="6"/>
        <v>3.5864858019190091</v>
      </c>
      <c r="AO25" s="17">
        <f t="shared" si="6"/>
        <v>3.6803728647964697</v>
      </c>
      <c r="AP25" s="17">
        <f t="shared" si="6"/>
        <v>3.7742599276739308</v>
      </c>
      <c r="AQ25" s="17">
        <f t="shared" si="6"/>
        <v>3.8681469905513914</v>
      </c>
      <c r="AR25" s="17">
        <f t="shared" si="6"/>
        <v>3.962034053428853</v>
      </c>
      <c r="AS25" s="17">
        <f t="shared" si="6"/>
        <v>4.0559211163063136</v>
      </c>
      <c r="AT25" s="17">
        <f t="shared" si="6"/>
        <v>4.1498081791837746</v>
      </c>
      <c r="AU25" s="17">
        <f t="shared" si="6"/>
        <v>4.2436952420612357</v>
      </c>
      <c r="AV25" s="17">
        <f t="shared" si="6"/>
        <v>4.3375823049386968</v>
      </c>
      <c r="AW25" s="17">
        <f t="shared" si="6"/>
        <v>4.4314693678161579</v>
      </c>
      <c r="AX25" s="17">
        <f t="shared" si="6"/>
        <v>4.525356430693618</v>
      </c>
      <c r="AY25" s="17">
        <f t="shared" si="6"/>
        <v>4.6192434935710791</v>
      </c>
      <c r="AZ25" s="17">
        <f t="shared" si="6"/>
        <v>4.7131305564485411</v>
      </c>
      <c r="BA25" s="17">
        <f t="shared" si="6"/>
        <v>4.8070176193260012</v>
      </c>
      <c r="BB25" s="17">
        <f t="shared" si="6"/>
        <v>4.9009046822034632</v>
      </c>
      <c r="BC25" s="17">
        <f t="shared" si="6"/>
        <v>4.9947917450809234</v>
      </c>
      <c r="BD25" s="17">
        <f t="shared" si="6"/>
        <v>5.0886788079583836</v>
      </c>
      <c r="BE25" s="17">
        <f t="shared" si="6"/>
        <v>5.1825658708358455</v>
      </c>
      <c r="BF25" s="17">
        <f t="shared" si="6"/>
        <v>5.2764529337133066</v>
      </c>
      <c r="BG25" s="17">
        <f t="shared" si="6"/>
        <v>5.3703399965907668</v>
      </c>
      <c r="BH25" s="17">
        <f t="shared" si="6"/>
        <v>5.4642270594682278</v>
      </c>
      <c r="BI25" s="17">
        <f t="shared" si="6"/>
        <v>5.5581141223456898</v>
      </c>
      <c r="BJ25" s="17">
        <f t="shared" si="6"/>
        <v>5.65200118522315</v>
      </c>
    </row>
    <row r="26" spans="1:62" ht="18.75">
      <c r="A26" s="2">
        <v>20</v>
      </c>
      <c r="B26" s="17">
        <f t="shared" si="1"/>
        <v>1.8649304695052202E-2</v>
      </c>
      <c r="C26" s="17">
        <f t="shared" si="6"/>
        <v>0.1118958281703132</v>
      </c>
      <c r="D26" s="17">
        <f t="shared" si="6"/>
        <v>0.20514235164557421</v>
      </c>
      <c r="E26" s="17">
        <f t="shared" si="6"/>
        <v>0.29838887512083523</v>
      </c>
      <c r="F26" s="17">
        <f t="shared" si="6"/>
        <v>0.3916353985960962</v>
      </c>
      <c r="G26" s="17">
        <f t="shared" si="6"/>
        <v>0.48488192207135722</v>
      </c>
      <c r="H26" s="17">
        <f t="shared" si="6"/>
        <v>0.57812844554661813</v>
      </c>
      <c r="I26" s="17">
        <f t="shared" si="6"/>
        <v>0.67137496902187921</v>
      </c>
      <c r="J26" s="17">
        <f t="shared" si="6"/>
        <v>0.76462149249714007</v>
      </c>
      <c r="K26" s="17">
        <f t="shared" si="6"/>
        <v>0.85786801597240125</v>
      </c>
      <c r="L26" s="17">
        <f t="shared" si="6"/>
        <v>0.95111453944766233</v>
      </c>
      <c r="M26" s="17">
        <f t="shared" si="6"/>
        <v>1.0443610629229232</v>
      </c>
      <c r="N26" s="17">
        <f t="shared" si="6"/>
        <v>1.1376075863981843</v>
      </c>
      <c r="O26" s="17">
        <f t="shared" si="6"/>
        <v>1.2308541098734451</v>
      </c>
      <c r="P26" s="17">
        <f t="shared" si="6"/>
        <v>1.3241006333487062</v>
      </c>
      <c r="Q26" s="17">
        <f t="shared" si="6"/>
        <v>1.4173471568239673</v>
      </c>
      <c r="R26" s="17">
        <f t="shared" si="6"/>
        <v>1.5105936802992284</v>
      </c>
      <c r="S26" s="17">
        <f t="shared" si="6"/>
        <v>1.603840203774489</v>
      </c>
      <c r="T26" s="17">
        <f t="shared" si="6"/>
        <v>1.6970867272497503</v>
      </c>
      <c r="U26" s="17">
        <f t="shared" si="6"/>
        <v>1.7903332507250111</v>
      </c>
      <c r="V26" s="17">
        <f t="shared" si="6"/>
        <v>1.8835797742002722</v>
      </c>
      <c r="W26" s="17">
        <f t="shared" si="6"/>
        <v>1.9768262976755331</v>
      </c>
      <c r="X26" s="17">
        <f t="shared" si="6"/>
        <v>2.0700728211507942</v>
      </c>
      <c r="Y26" s="17">
        <f t="shared" si="6"/>
        <v>2.1633193446260552</v>
      </c>
      <c r="Z26" s="17">
        <f t="shared" si="6"/>
        <v>2.2565658681013163</v>
      </c>
      <c r="AA26" s="17">
        <f t="shared" si="6"/>
        <v>2.349812391576577</v>
      </c>
      <c r="AB26" s="17">
        <f t="shared" si="6"/>
        <v>2.443058915051838</v>
      </c>
      <c r="AC26" s="17">
        <f t="shared" si="6"/>
        <v>2.5363054385270987</v>
      </c>
      <c r="AD26" s="17">
        <f t="shared" si="6"/>
        <v>2.6295519620023602</v>
      </c>
      <c r="AE26" s="17">
        <f t="shared" si="6"/>
        <v>2.7227984854776213</v>
      </c>
      <c r="AF26" s="17">
        <f t="shared" si="6"/>
        <v>2.8160450089528819</v>
      </c>
      <c r="AG26" s="17">
        <f t="shared" si="6"/>
        <v>2.909291532428143</v>
      </c>
      <c r="AH26" s="17">
        <f t="shared" si="6"/>
        <v>3.0025380559034041</v>
      </c>
      <c r="AI26" s="17">
        <f t="shared" si="6"/>
        <v>3.0957845793786651</v>
      </c>
      <c r="AJ26" s="17">
        <f t="shared" si="6"/>
        <v>3.1890311028539258</v>
      </c>
      <c r="AK26" s="17">
        <f t="shared" si="6"/>
        <v>3.2822776263291873</v>
      </c>
      <c r="AL26" s="17">
        <f t="shared" si="6"/>
        <v>3.3755241498044484</v>
      </c>
      <c r="AM26" s="17">
        <f t="shared" si="6"/>
        <v>3.468770673279709</v>
      </c>
      <c r="AN26" s="17">
        <f t="shared" si="6"/>
        <v>3.5620171967549701</v>
      </c>
      <c r="AO26" s="17">
        <f t="shared" si="6"/>
        <v>3.6552637202302312</v>
      </c>
      <c r="AP26" s="17">
        <f t="shared" si="6"/>
        <v>3.7485102437054918</v>
      </c>
      <c r="AQ26" s="17">
        <f t="shared" si="6"/>
        <v>3.8417567671807533</v>
      </c>
      <c r="AR26" s="17">
        <f t="shared" si="6"/>
        <v>3.9350032906560144</v>
      </c>
      <c r="AS26" s="17">
        <f t="shared" si="6"/>
        <v>4.028249814131275</v>
      </c>
      <c r="AT26" s="17">
        <f t="shared" si="6"/>
        <v>4.1214963376065361</v>
      </c>
      <c r="AU26" s="17">
        <f t="shared" si="6"/>
        <v>4.2147428610817972</v>
      </c>
      <c r="AV26" s="17">
        <f t="shared" si="6"/>
        <v>4.3079893845570583</v>
      </c>
      <c r="AW26" s="17">
        <f t="shared" si="6"/>
        <v>4.4012359080323193</v>
      </c>
      <c r="AX26" s="17">
        <f t="shared" si="6"/>
        <v>4.4944824315075804</v>
      </c>
      <c r="AY26" s="17">
        <f t="shared" si="6"/>
        <v>4.5877289549828406</v>
      </c>
      <c r="AZ26" s="17">
        <f t="shared" si="6"/>
        <v>4.6809754784581017</v>
      </c>
      <c r="BA26" s="17">
        <f t="shared" si="6"/>
        <v>4.7742220019333637</v>
      </c>
      <c r="BB26" s="17">
        <f t="shared" si="6"/>
        <v>4.8674685254086247</v>
      </c>
      <c r="BC26" s="17">
        <f t="shared" si="6"/>
        <v>4.9607150488838849</v>
      </c>
      <c r="BD26" s="17">
        <f t="shared" si="6"/>
        <v>5.053961572359146</v>
      </c>
      <c r="BE26" s="17">
        <f t="shared" si="6"/>
        <v>5.1472080958344071</v>
      </c>
      <c r="BF26" s="17">
        <f t="shared" si="6"/>
        <v>5.2404546193096682</v>
      </c>
      <c r="BG26" s="17">
        <f t="shared" si="6"/>
        <v>5.3337011427849292</v>
      </c>
      <c r="BH26" s="17">
        <f t="shared" si="6"/>
        <v>5.4269476662601894</v>
      </c>
      <c r="BI26" s="17">
        <f t="shared" si="6"/>
        <v>5.5201941897354514</v>
      </c>
      <c r="BJ26" s="17">
        <f t="shared" si="6"/>
        <v>5.6134407132107125</v>
      </c>
    </row>
    <row r="27" spans="1:62" ht="18.75">
      <c r="A27" s="2">
        <v>22</v>
      </c>
      <c r="B27" s="17">
        <f t="shared" si="1"/>
        <v>1.8522932987818236E-2</v>
      </c>
      <c r="C27" s="17">
        <f t="shared" si="6"/>
        <v>0.11113759792690943</v>
      </c>
      <c r="D27" s="17">
        <f t="shared" si="6"/>
        <v>0.20375226286600059</v>
      </c>
      <c r="E27" s="17">
        <f t="shared" si="6"/>
        <v>0.29636692780509177</v>
      </c>
      <c r="F27" s="17">
        <f t="shared" si="6"/>
        <v>0.38898159274418292</v>
      </c>
      <c r="G27" s="17">
        <f t="shared" si="6"/>
        <v>0.48159625768327413</v>
      </c>
      <c r="H27" s="17">
        <f t="shared" si="6"/>
        <v>0.57421092262236528</v>
      </c>
      <c r="I27" s="17">
        <f t="shared" si="6"/>
        <v>0.66682558756145649</v>
      </c>
      <c r="J27" s="17">
        <f t="shared" si="6"/>
        <v>0.75944025250054759</v>
      </c>
      <c r="K27" s="17">
        <f t="shared" si="6"/>
        <v>0.8520549174396389</v>
      </c>
      <c r="L27" s="17">
        <f t="shared" si="6"/>
        <v>0.94466958237873</v>
      </c>
      <c r="M27" s="17">
        <f t="shared" si="6"/>
        <v>1.0372842473178212</v>
      </c>
      <c r="N27" s="17">
        <f t="shared" si="6"/>
        <v>1.1298989122569125</v>
      </c>
      <c r="O27" s="17">
        <f t="shared" si="6"/>
        <v>1.2225135771960034</v>
      </c>
      <c r="P27" s="17">
        <f t="shared" si="6"/>
        <v>1.3151282421350947</v>
      </c>
      <c r="Q27" s="17">
        <f t="shared" si="6"/>
        <v>1.407742907074186</v>
      </c>
      <c r="R27" s="17">
        <f t="shared" si="6"/>
        <v>1.5003575720132771</v>
      </c>
      <c r="S27" s="17">
        <f t="shared" si="6"/>
        <v>1.592972236952368</v>
      </c>
      <c r="T27" s="17">
        <f t="shared" si="6"/>
        <v>1.6855869018914595</v>
      </c>
      <c r="U27" s="17">
        <f t="shared" si="6"/>
        <v>1.7782015668305509</v>
      </c>
      <c r="V27" s="17">
        <f t="shared" si="6"/>
        <v>1.8708162317696417</v>
      </c>
      <c r="W27" s="17">
        <f t="shared" si="6"/>
        <v>1.9634308967087328</v>
      </c>
      <c r="X27" s="17">
        <f t="shared" si="6"/>
        <v>2.0560455616478244</v>
      </c>
      <c r="Y27" s="17">
        <f t="shared" si="6"/>
        <v>2.1486602265869155</v>
      </c>
      <c r="Z27" s="17">
        <f t="shared" si="6"/>
        <v>2.2412748915260066</v>
      </c>
      <c r="AA27" s="17">
        <f t="shared" si="6"/>
        <v>2.3338895564650977</v>
      </c>
      <c r="AB27" s="17">
        <f t="shared" si="6"/>
        <v>2.4265042214041883</v>
      </c>
      <c r="AC27" s="17">
        <f t="shared" si="6"/>
        <v>2.5191188863432799</v>
      </c>
      <c r="AD27" s="17">
        <f t="shared" si="6"/>
        <v>2.6117335512823714</v>
      </c>
      <c r="AE27" s="17">
        <f t="shared" si="6"/>
        <v>2.704348216221462</v>
      </c>
      <c r="AF27" s="17">
        <f t="shared" si="6"/>
        <v>2.7969628811605536</v>
      </c>
      <c r="AG27" s="17">
        <f t="shared" ref="C27:BJ31" si="7">($B$1/1000)*((AG$5+1)/1.01325)*(273.15/(273.15+$A27))*$B$2</f>
        <v>2.8895775460996447</v>
      </c>
      <c r="AH27" s="17">
        <f t="shared" si="7"/>
        <v>2.9821922110387358</v>
      </c>
      <c r="AI27" s="17">
        <f t="shared" si="7"/>
        <v>3.0748068759778273</v>
      </c>
      <c r="AJ27" s="17">
        <f t="shared" si="7"/>
        <v>3.1674215409169184</v>
      </c>
      <c r="AK27" s="17">
        <f t="shared" si="7"/>
        <v>3.2600362058560095</v>
      </c>
      <c r="AL27" s="17">
        <f t="shared" si="7"/>
        <v>3.3526508707951002</v>
      </c>
      <c r="AM27" s="17">
        <f t="shared" si="7"/>
        <v>3.4452655357341917</v>
      </c>
      <c r="AN27" s="17">
        <f t="shared" si="7"/>
        <v>3.5378802006732828</v>
      </c>
      <c r="AO27" s="17">
        <f t="shared" si="7"/>
        <v>3.6304948656123743</v>
      </c>
      <c r="AP27" s="17">
        <f t="shared" si="7"/>
        <v>3.7231095305514654</v>
      </c>
      <c r="AQ27" s="17">
        <f t="shared" si="7"/>
        <v>3.8157241954905561</v>
      </c>
      <c r="AR27" s="17">
        <f t="shared" si="7"/>
        <v>3.9083388604296476</v>
      </c>
      <c r="AS27" s="17">
        <f t="shared" si="7"/>
        <v>4.0009535253687387</v>
      </c>
      <c r="AT27" s="17">
        <f t="shared" si="7"/>
        <v>4.0935681903078303</v>
      </c>
      <c r="AU27" s="17">
        <f t="shared" si="7"/>
        <v>4.1861828552469209</v>
      </c>
      <c r="AV27" s="17">
        <f t="shared" si="7"/>
        <v>4.2787975201860124</v>
      </c>
      <c r="AW27" s="17">
        <f t="shared" si="7"/>
        <v>4.371412185125104</v>
      </c>
      <c r="AX27" s="17">
        <f t="shared" si="7"/>
        <v>4.4640268500641946</v>
      </c>
      <c r="AY27" s="17">
        <f t="shared" si="7"/>
        <v>4.5566415150032862</v>
      </c>
      <c r="AZ27" s="17">
        <f t="shared" si="7"/>
        <v>4.6492561799423768</v>
      </c>
      <c r="BA27" s="17">
        <f t="shared" si="7"/>
        <v>4.7418708448814684</v>
      </c>
      <c r="BB27" s="17">
        <f t="shared" si="7"/>
        <v>4.8344855098205599</v>
      </c>
      <c r="BC27" s="17">
        <f t="shared" si="7"/>
        <v>4.9271001747596506</v>
      </c>
      <c r="BD27" s="17">
        <f t="shared" si="7"/>
        <v>5.0197148396987412</v>
      </c>
      <c r="BE27" s="17">
        <f t="shared" si="7"/>
        <v>5.1123295046378328</v>
      </c>
      <c r="BF27" s="17">
        <f t="shared" si="7"/>
        <v>5.2049441695769243</v>
      </c>
      <c r="BG27" s="17">
        <f t="shared" si="7"/>
        <v>5.2975588345160158</v>
      </c>
      <c r="BH27" s="17">
        <f t="shared" si="7"/>
        <v>5.3901734994551065</v>
      </c>
      <c r="BI27" s="17">
        <f t="shared" si="7"/>
        <v>5.482788164394198</v>
      </c>
      <c r="BJ27" s="17">
        <f t="shared" si="7"/>
        <v>5.5754028293332887</v>
      </c>
    </row>
    <row r="28" spans="1:62" ht="18.75">
      <c r="A28" s="2">
        <v>24</v>
      </c>
      <c r="B28" s="17">
        <f t="shared" si="1"/>
        <v>1.8398262397289422E-2</v>
      </c>
      <c r="C28" s="17">
        <f t="shared" si="7"/>
        <v>0.11038957438373656</v>
      </c>
      <c r="D28" s="17">
        <f t="shared" si="7"/>
        <v>0.20238088637018364</v>
      </c>
      <c r="E28" s="17">
        <f t="shared" si="7"/>
        <v>0.29437219835663075</v>
      </c>
      <c r="F28" s="17">
        <f t="shared" si="7"/>
        <v>0.38636351034307787</v>
      </c>
      <c r="G28" s="17">
        <f t="shared" si="7"/>
        <v>0.47835482232952509</v>
      </c>
      <c r="H28" s="17">
        <f t="shared" si="7"/>
        <v>0.57034613431597214</v>
      </c>
      <c r="I28" s="17">
        <f t="shared" si="7"/>
        <v>0.66233744630241931</v>
      </c>
      <c r="J28" s="17">
        <f t="shared" si="7"/>
        <v>0.75432875828886636</v>
      </c>
      <c r="K28" s="17">
        <f t="shared" si="7"/>
        <v>0.84632007027531364</v>
      </c>
      <c r="L28" s="17">
        <f t="shared" si="7"/>
        <v>0.9383113822617607</v>
      </c>
      <c r="M28" s="17">
        <f t="shared" si="7"/>
        <v>1.0303026942482076</v>
      </c>
      <c r="N28" s="17">
        <f t="shared" si="7"/>
        <v>1.1222940062346549</v>
      </c>
      <c r="O28" s="17">
        <f t="shared" si="7"/>
        <v>1.214285318221102</v>
      </c>
      <c r="P28" s="17">
        <f t="shared" si="7"/>
        <v>1.306276630207549</v>
      </c>
      <c r="Q28" s="17">
        <f t="shared" si="7"/>
        <v>1.3982679421939963</v>
      </c>
      <c r="R28" s="17">
        <f t="shared" si="7"/>
        <v>1.4902592541804434</v>
      </c>
      <c r="S28" s="17">
        <f t="shared" si="7"/>
        <v>1.5822505661668902</v>
      </c>
      <c r="T28" s="17">
        <f t="shared" si="7"/>
        <v>1.6742418781533377</v>
      </c>
      <c r="U28" s="17">
        <f t="shared" si="7"/>
        <v>1.766233190139785</v>
      </c>
      <c r="V28" s="17">
        <f t="shared" si="7"/>
        <v>1.8582245021262318</v>
      </c>
      <c r="W28" s="17">
        <f t="shared" si="7"/>
        <v>1.9502158141126791</v>
      </c>
      <c r="X28" s="17">
        <f t="shared" si="7"/>
        <v>2.0422071260991261</v>
      </c>
      <c r="Y28" s="17">
        <f t="shared" si="7"/>
        <v>2.1341984380855732</v>
      </c>
      <c r="Z28" s="17">
        <f t="shared" si="7"/>
        <v>2.2261897500720202</v>
      </c>
      <c r="AA28" s="17">
        <f t="shared" si="7"/>
        <v>2.3181810620584673</v>
      </c>
      <c r="AB28" s="17">
        <f t="shared" si="7"/>
        <v>2.4101723740449144</v>
      </c>
      <c r="AC28" s="17">
        <f t="shared" si="7"/>
        <v>2.5021636860313614</v>
      </c>
      <c r="AD28" s="17">
        <f t="shared" si="7"/>
        <v>2.5941549980178089</v>
      </c>
      <c r="AE28" s="17">
        <f t="shared" si="7"/>
        <v>2.686146310004256</v>
      </c>
      <c r="AF28" s="17">
        <f t="shared" si="7"/>
        <v>2.778137621990703</v>
      </c>
      <c r="AG28" s="17">
        <f t="shared" si="7"/>
        <v>2.8701289339771505</v>
      </c>
      <c r="AH28" s="17">
        <f t="shared" si="7"/>
        <v>2.9621202459635971</v>
      </c>
      <c r="AI28" s="17">
        <f t="shared" si="7"/>
        <v>3.0541115579500442</v>
      </c>
      <c r="AJ28" s="17">
        <f t="shared" si="7"/>
        <v>3.1461028699364912</v>
      </c>
      <c r="AK28" s="17">
        <f t="shared" si="7"/>
        <v>3.2380941819229383</v>
      </c>
      <c r="AL28" s="17">
        <f t="shared" si="7"/>
        <v>3.3300854939093858</v>
      </c>
      <c r="AM28" s="17">
        <f t="shared" si="7"/>
        <v>3.4220768058958329</v>
      </c>
      <c r="AN28" s="17">
        <f t="shared" si="7"/>
        <v>3.5140681178822799</v>
      </c>
      <c r="AO28" s="17">
        <f t="shared" si="7"/>
        <v>3.6060594298687274</v>
      </c>
      <c r="AP28" s="17">
        <f t="shared" si="7"/>
        <v>3.6980507418551745</v>
      </c>
      <c r="AQ28" s="17">
        <f t="shared" si="7"/>
        <v>3.7900420538416215</v>
      </c>
      <c r="AR28" s="17">
        <f t="shared" si="7"/>
        <v>3.8820333658280681</v>
      </c>
      <c r="AS28" s="17">
        <f t="shared" si="7"/>
        <v>3.9740246778145152</v>
      </c>
      <c r="AT28" s="17">
        <f t="shared" si="7"/>
        <v>4.0660159898009622</v>
      </c>
      <c r="AU28" s="17">
        <f t="shared" si="7"/>
        <v>4.1580073017874097</v>
      </c>
      <c r="AV28" s="17">
        <f t="shared" si="7"/>
        <v>4.2499986137738572</v>
      </c>
      <c r="AW28" s="17">
        <f t="shared" si="7"/>
        <v>4.3419899257603038</v>
      </c>
      <c r="AX28" s="17">
        <f t="shared" si="7"/>
        <v>4.4339812377467513</v>
      </c>
      <c r="AY28" s="17">
        <f t="shared" si="7"/>
        <v>4.5259725497331988</v>
      </c>
      <c r="AZ28" s="17">
        <f t="shared" si="7"/>
        <v>4.6179638617196455</v>
      </c>
      <c r="BA28" s="17">
        <f t="shared" si="7"/>
        <v>4.7099551737060921</v>
      </c>
      <c r="BB28" s="17">
        <f t="shared" si="7"/>
        <v>4.8019464856925405</v>
      </c>
      <c r="BC28" s="17">
        <f t="shared" si="7"/>
        <v>4.8939377976789871</v>
      </c>
      <c r="BD28" s="17">
        <f t="shared" si="7"/>
        <v>4.9859291096654328</v>
      </c>
      <c r="BE28" s="17">
        <f t="shared" si="7"/>
        <v>5.0779204216518812</v>
      </c>
      <c r="BF28" s="17">
        <f t="shared" si="7"/>
        <v>5.1699117336383278</v>
      </c>
      <c r="BG28" s="17">
        <f t="shared" si="7"/>
        <v>5.2619030456247753</v>
      </c>
      <c r="BH28" s="17">
        <f t="shared" si="7"/>
        <v>5.3538943576112228</v>
      </c>
      <c r="BI28" s="17">
        <f t="shared" si="7"/>
        <v>5.4458856695976694</v>
      </c>
      <c r="BJ28" s="17">
        <f t="shared" si="7"/>
        <v>5.537876981584116</v>
      </c>
    </row>
    <row r="29" spans="1:62" ht="18.75">
      <c r="A29" s="2">
        <v>26</v>
      </c>
      <c r="B29" s="17">
        <f t="shared" si="1"/>
        <v>1.8275258804461146E-2</v>
      </c>
      <c r="C29" s="17">
        <f t="shared" si="7"/>
        <v>0.10965155282676689</v>
      </c>
      <c r="D29" s="17">
        <f t="shared" si="7"/>
        <v>0.20102784684907263</v>
      </c>
      <c r="E29" s="17">
        <f t="shared" si="7"/>
        <v>0.29240414087137834</v>
      </c>
      <c r="F29" s="17">
        <f t="shared" si="7"/>
        <v>0.38378043489368407</v>
      </c>
      <c r="G29" s="17">
        <f t="shared" si="7"/>
        <v>0.47515672891598987</v>
      </c>
      <c r="H29" s="17">
        <f t="shared" si="7"/>
        <v>0.56653302293829555</v>
      </c>
      <c r="I29" s="17">
        <f t="shared" si="7"/>
        <v>0.65790931696060129</v>
      </c>
      <c r="J29" s="17">
        <f t="shared" si="7"/>
        <v>0.74928561098290702</v>
      </c>
      <c r="K29" s="17">
        <f t="shared" si="7"/>
        <v>0.84066190500521287</v>
      </c>
      <c r="L29" s="17">
        <f t="shared" si="7"/>
        <v>0.93203819902751861</v>
      </c>
      <c r="M29" s="17">
        <f t="shared" si="7"/>
        <v>1.0234144930498241</v>
      </c>
      <c r="N29" s="17">
        <f t="shared" si="7"/>
        <v>1.1147907870721301</v>
      </c>
      <c r="O29" s="17">
        <f t="shared" si="7"/>
        <v>1.2061670810944356</v>
      </c>
      <c r="P29" s="17">
        <f t="shared" si="7"/>
        <v>1.2975433751167413</v>
      </c>
      <c r="Q29" s="17">
        <f t="shared" si="7"/>
        <v>1.3889196691390471</v>
      </c>
      <c r="R29" s="17">
        <f t="shared" si="7"/>
        <v>1.480295963161353</v>
      </c>
      <c r="S29" s="17">
        <f t="shared" si="7"/>
        <v>1.5716722571836583</v>
      </c>
      <c r="T29" s="17">
        <f t="shared" si="7"/>
        <v>1.6630485512059645</v>
      </c>
      <c r="U29" s="17">
        <f t="shared" si="7"/>
        <v>1.7544248452282702</v>
      </c>
      <c r="V29" s="17">
        <f t="shared" si="7"/>
        <v>1.845801139250576</v>
      </c>
      <c r="W29" s="17">
        <f t="shared" si="7"/>
        <v>1.9371774332728817</v>
      </c>
      <c r="X29" s="17">
        <f t="shared" si="7"/>
        <v>2.0285537272951872</v>
      </c>
      <c r="Y29" s="17">
        <f t="shared" si="7"/>
        <v>2.1199300213174932</v>
      </c>
      <c r="Z29" s="17">
        <f t="shared" si="7"/>
        <v>2.2113063153397987</v>
      </c>
      <c r="AA29" s="17">
        <f t="shared" si="7"/>
        <v>2.3026826093621047</v>
      </c>
      <c r="AB29" s="17">
        <f t="shared" si="7"/>
        <v>2.3940589033844097</v>
      </c>
      <c r="AC29" s="17">
        <f t="shared" si="7"/>
        <v>2.4854351974067157</v>
      </c>
      <c r="AD29" s="17">
        <f t="shared" si="7"/>
        <v>2.5768114914290217</v>
      </c>
      <c r="AE29" s="17">
        <f t="shared" si="7"/>
        <v>2.6681877854513272</v>
      </c>
      <c r="AF29" s="17">
        <f t="shared" si="7"/>
        <v>2.7595640794736336</v>
      </c>
      <c r="AG29" s="17">
        <f t="shared" si="7"/>
        <v>2.8509403734959391</v>
      </c>
      <c r="AH29" s="17">
        <f t="shared" si="7"/>
        <v>2.9423166675182446</v>
      </c>
      <c r="AI29" s="17">
        <f t="shared" si="7"/>
        <v>3.0336929615405506</v>
      </c>
      <c r="AJ29" s="17">
        <f t="shared" si="7"/>
        <v>3.1250692555628561</v>
      </c>
      <c r="AK29" s="17">
        <f t="shared" si="7"/>
        <v>3.216445549585162</v>
      </c>
      <c r="AL29" s="17">
        <f t="shared" si="7"/>
        <v>3.3078218436074676</v>
      </c>
      <c r="AM29" s="17">
        <f t="shared" si="7"/>
        <v>3.3991981376297735</v>
      </c>
      <c r="AN29" s="17">
        <f t="shared" si="7"/>
        <v>3.490574431652079</v>
      </c>
      <c r="AO29" s="17">
        <f t="shared" si="7"/>
        <v>3.581950725674385</v>
      </c>
      <c r="AP29" s="17">
        <f t="shared" si="7"/>
        <v>3.6733270196966905</v>
      </c>
      <c r="AQ29" s="17">
        <f t="shared" si="7"/>
        <v>3.764703313718996</v>
      </c>
      <c r="AR29" s="17">
        <f t="shared" si="7"/>
        <v>3.856079607741302</v>
      </c>
      <c r="AS29" s="17">
        <f t="shared" si="7"/>
        <v>3.9474559017636075</v>
      </c>
      <c r="AT29" s="17">
        <f t="shared" si="7"/>
        <v>4.038832195785913</v>
      </c>
      <c r="AU29" s="17">
        <f t="shared" si="7"/>
        <v>4.1302084898082194</v>
      </c>
      <c r="AV29" s="17">
        <f t="shared" si="7"/>
        <v>4.2215847838305249</v>
      </c>
      <c r="AW29" s="17">
        <f t="shared" si="7"/>
        <v>4.3129610778528304</v>
      </c>
      <c r="AX29" s="17">
        <f t="shared" si="7"/>
        <v>4.404337371875136</v>
      </c>
      <c r="AY29" s="17">
        <f t="shared" si="7"/>
        <v>4.4957136658974424</v>
      </c>
      <c r="AZ29" s="17">
        <f t="shared" si="7"/>
        <v>4.5870899599197479</v>
      </c>
      <c r="BA29" s="17">
        <f t="shared" si="7"/>
        <v>4.6784662539420534</v>
      </c>
      <c r="BB29" s="17">
        <f t="shared" si="7"/>
        <v>4.7698425479643598</v>
      </c>
      <c r="BC29" s="17">
        <f t="shared" si="7"/>
        <v>4.8612188419866644</v>
      </c>
      <c r="BD29" s="17">
        <f t="shared" si="7"/>
        <v>4.9525951360089699</v>
      </c>
      <c r="BE29" s="17">
        <f t="shared" si="7"/>
        <v>5.0439714300312763</v>
      </c>
      <c r="BF29" s="17">
        <f t="shared" si="7"/>
        <v>5.1353477240535819</v>
      </c>
      <c r="BG29" s="17">
        <f t="shared" si="7"/>
        <v>5.2267240180758874</v>
      </c>
      <c r="BH29" s="17">
        <f t="shared" si="7"/>
        <v>5.3181003120981938</v>
      </c>
      <c r="BI29" s="17">
        <f t="shared" si="7"/>
        <v>5.4094766061205002</v>
      </c>
      <c r="BJ29" s="17">
        <f t="shared" si="7"/>
        <v>5.5008529001428057</v>
      </c>
    </row>
    <row r="30" spans="1:62" ht="18.75">
      <c r="A30" s="1">
        <v>28</v>
      </c>
      <c r="B30" s="17">
        <f t="shared" si="1"/>
        <v>1.8153888996694512E-2</v>
      </c>
      <c r="C30" s="17">
        <f t="shared" si="7"/>
        <v>0.10892333398016708</v>
      </c>
      <c r="D30" s="17">
        <f t="shared" si="7"/>
        <v>0.1996927789636396</v>
      </c>
      <c r="E30" s="17">
        <f t="shared" si="7"/>
        <v>0.29046222394711219</v>
      </c>
      <c r="F30" s="17">
        <f t="shared" si="7"/>
        <v>0.38123166893058469</v>
      </c>
      <c r="G30" s="17">
        <f t="shared" si="7"/>
        <v>0.4720011139140573</v>
      </c>
      <c r="H30" s="17">
        <f t="shared" si="7"/>
        <v>0.56277055889752992</v>
      </c>
      <c r="I30" s="17">
        <f t="shared" si="7"/>
        <v>0.65354000388100242</v>
      </c>
      <c r="J30" s="17">
        <f t="shared" si="7"/>
        <v>0.74430944886447492</v>
      </c>
      <c r="K30" s="17">
        <f t="shared" si="7"/>
        <v>0.83507889384794753</v>
      </c>
      <c r="L30" s="17">
        <f t="shared" si="7"/>
        <v>0.92584833883142004</v>
      </c>
      <c r="M30" s="17">
        <f t="shared" si="7"/>
        <v>1.0166177838148927</v>
      </c>
      <c r="N30" s="17">
        <f t="shared" si="7"/>
        <v>1.1073872287983653</v>
      </c>
      <c r="O30" s="17">
        <f t="shared" si="7"/>
        <v>1.1981566737818377</v>
      </c>
      <c r="P30" s="17">
        <f t="shared" si="7"/>
        <v>1.28892611876531</v>
      </c>
      <c r="Q30" s="17">
        <f t="shared" si="7"/>
        <v>1.3796955637487829</v>
      </c>
      <c r="R30" s="17">
        <f t="shared" si="7"/>
        <v>1.4704650087322555</v>
      </c>
      <c r="S30" s="17">
        <f t="shared" si="7"/>
        <v>1.5612344537157279</v>
      </c>
      <c r="T30" s="17">
        <f t="shared" si="7"/>
        <v>1.6520038986992007</v>
      </c>
      <c r="U30" s="17">
        <f t="shared" si="7"/>
        <v>1.7427733436826733</v>
      </c>
      <c r="V30" s="17">
        <f t="shared" si="7"/>
        <v>1.8335427886661457</v>
      </c>
      <c r="W30" s="17">
        <f t="shared" si="7"/>
        <v>1.9243122336496183</v>
      </c>
      <c r="X30" s="17">
        <f t="shared" si="7"/>
        <v>2.015081678633091</v>
      </c>
      <c r="Y30" s="17">
        <f t="shared" si="7"/>
        <v>2.1058511236165636</v>
      </c>
      <c r="Z30" s="17">
        <f t="shared" si="7"/>
        <v>2.1966205686000362</v>
      </c>
      <c r="AA30" s="17">
        <f t="shared" si="7"/>
        <v>2.2873900135835088</v>
      </c>
      <c r="AB30" s="17">
        <f t="shared" si="7"/>
        <v>2.378159458566981</v>
      </c>
      <c r="AC30" s="17">
        <f t="shared" si="7"/>
        <v>2.4689289035504531</v>
      </c>
      <c r="AD30" s="17">
        <f t="shared" si="7"/>
        <v>2.5596983485339262</v>
      </c>
      <c r="AE30" s="17">
        <f t="shared" si="7"/>
        <v>2.6504677935173988</v>
      </c>
      <c r="AF30" s="17">
        <f t="shared" si="7"/>
        <v>2.7412372385008714</v>
      </c>
      <c r="AG30" s="17">
        <f t="shared" si="7"/>
        <v>2.832006683484344</v>
      </c>
      <c r="AH30" s="17">
        <f t="shared" si="7"/>
        <v>2.9227761284678166</v>
      </c>
      <c r="AI30" s="17">
        <f t="shared" si="7"/>
        <v>3.0135455734512888</v>
      </c>
      <c r="AJ30" s="17">
        <f t="shared" si="7"/>
        <v>3.1043150184347614</v>
      </c>
      <c r="AK30" s="17">
        <f t="shared" si="7"/>
        <v>3.1950844634182336</v>
      </c>
      <c r="AL30" s="17">
        <f t="shared" si="7"/>
        <v>3.2858539084017067</v>
      </c>
      <c r="AM30" s="17">
        <f t="shared" si="7"/>
        <v>3.3766233533851788</v>
      </c>
      <c r="AN30" s="17">
        <f t="shared" si="7"/>
        <v>3.4673927983686519</v>
      </c>
      <c r="AO30" s="17">
        <f t="shared" si="7"/>
        <v>3.5581622433521241</v>
      </c>
      <c r="AP30" s="17">
        <f t="shared" si="7"/>
        <v>3.6489316883355971</v>
      </c>
      <c r="AQ30" s="17">
        <f t="shared" si="7"/>
        <v>3.7397011333190693</v>
      </c>
      <c r="AR30" s="17">
        <f t="shared" si="7"/>
        <v>3.8304705783025419</v>
      </c>
      <c r="AS30" s="17">
        <f t="shared" si="7"/>
        <v>3.9212400232860141</v>
      </c>
      <c r="AT30" s="17">
        <f t="shared" si="7"/>
        <v>4.0120094682694871</v>
      </c>
      <c r="AU30" s="17">
        <f t="shared" si="7"/>
        <v>4.1027789132529593</v>
      </c>
      <c r="AV30" s="17">
        <f t="shared" si="7"/>
        <v>4.1935483582364323</v>
      </c>
      <c r="AW30" s="17">
        <f t="shared" si="7"/>
        <v>4.2843178032199045</v>
      </c>
      <c r="AX30" s="17">
        <f t="shared" si="7"/>
        <v>4.3750872482033776</v>
      </c>
      <c r="AY30" s="17">
        <f t="shared" si="7"/>
        <v>4.4658566931868497</v>
      </c>
      <c r="AZ30" s="17">
        <f t="shared" si="7"/>
        <v>4.5566261381703228</v>
      </c>
      <c r="BA30" s="17">
        <f t="shared" si="7"/>
        <v>4.647395583153795</v>
      </c>
      <c r="BB30" s="17">
        <f t="shared" si="7"/>
        <v>4.738165028137268</v>
      </c>
      <c r="BC30" s="17">
        <f t="shared" si="7"/>
        <v>4.8289344731207402</v>
      </c>
      <c r="BD30" s="17">
        <f t="shared" si="7"/>
        <v>4.9197039181042124</v>
      </c>
      <c r="BE30" s="17">
        <f t="shared" si="7"/>
        <v>5.0104733630876845</v>
      </c>
      <c r="BF30" s="17">
        <f t="shared" si="7"/>
        <v>5.1012428080711576</v>
      </c>
      <c r="BG30" s="17">
        <f t="shared" si="7"/>
        <v>5.1920122530546298</v>
      </c>
      <c r="BH30" s="17">
        <f t="shared" si="7"/>
        <v>5.2827816980381028</v>
      </c>
      <c r="BI30" s="17">
        <f t="shared" si="7"/>
        <v>5.3735511430215759</v>
      </c>
      <c r="BJ30" s="17">
        <f t="shared" si="7"/>
        <v>5.4643205880050481</v>
      </c>
    </row>
    <row r="31" spans="1:62" ht="18.75">
      <c r="A31" s="1">
        <v>30</v>
      </c>
      <c r="B31" s="17">
        <f t="shared" si="1"/>
        <v>1.8034120637818084E-2</v>
      </c>
      <c r="C31" s="17">
        <f t="shared" si="7"/>
        <v>0.10820472382690852</v>
      </c>
      <c r="D31" s="17">
        <f t="shared" si="7"/>
        <v>0.19837532701599894</v>
      </c>
      <c r="E31" s="17">
        <f t="shared" si="7"/>
        <v>0.28854593020508934</v>
      </c>
      <c r="F31" s="17">
        <f t="shared" si="7"/>
        <v>0.37871653339417971</v>
      </c>
      <c r="G31" s="17">
        <f t="shared" si="7"/>
        <v>0.46888713658327019</v>
      </c>
      <c r="H31" s="17">
        <f t="shared" si="7"/>
        <v>0.55905773977236073</v>
      </c>
      <c r="I31" s="17">
        <f t="shared" si="7"/>
        <v>0.64922834296145104</v>
      </c>
      <c r="J31" s="17">
        <f t="shared" si="7"/>
        <v>0.73939894615054136</v>
      </c>
      <c r="K31" s="17">
        <f t="shared" si="7"/>
        <v>0.82956954933963201</v>
      </c>
      <c r="L31" s="17">
        <f t="shared" si="7"/>
        <v>0.91974015252872243</v>
      </c>
      <c r="M31" s="17">
        <f t="shared" si="7"/>
        <v>1.0099107557178126</v>
      </c>
      <c r="N31" s="17">
        <f t="shared" si="7"/>
        <v>1.1000813589069032</v>
      </c>
      <c r="O31" s="17">
        <f t="shared" si="7"/>
        <v>1.1902519620959935</v>
      </c>
      <c r="P31" s="17">
        <f t="shared" si="7"/>
        <v>1.280422565285084</v>
      </c>
      <c r="Q31" s="17">
        <f t="shared" si="7"/>
        <v>1.3705931684741746</v>
      </c>
      <c r="R31" s="17">
        <f t="shared" si="7"/>
        <v>1.4607637716632649</v>
      </c>
      <c r="S31" s="17">
        <f t="shared" si="7"/>
        <v>1.550934374852355</v>
      </c>
      <c r="T31" s="17">
        <f t="shared" si="7"/>
        <v>1.6411049780414457</v>
      </c>
      <c r="U31" s="17">
        <f t="shared" si="7"/>
        <v>1.7312755812305363</v>
      </c>
      <c r="V31" s="17">
        <f t="shared" si="7"/>
        <v>1.8214461844196266</v>
      </c>
      <c r="W31" s="17">
        <f t="shared" si="7"/>
        <v>1.9116167876087171</v>
      </c>
      <c r="X31" s="17">
        <f t="shared" si="7"/>
        <v>2.0017873907978072</v>
      </c>
      <c r="Y31" s="17">
        <f t="shared" si="7"/>
        <v>2.091957993986898</v>
      </c>
      <c r="Z31" s="17">
        <f t="shared" si="7"/>
        <v>2.1821285971759883</v>
      </c>
      <c r="AA31" s="17">
        <f t="shared" si="7"/>
        <v>2.2722992003650786</v>
      </c>
      <c r="AB31" s="17">
        <f t="shared" si="7"/>
        <v>2.3624698035541689</v>
      </c>
      <c r="AC31" s="17">
        <f t="shared" si="7"/>
        <v>2.4526404067432592</v>
      </c>
      <c r="AD31" s="17">
        <f t="shared" si="7"/>
        <v>2.54281100993235</v>
      </c>
      <c r="AE31" s="17">
        <f t="shared" si="7"/>
        <v>2.6329816131214403</v>
      </c>
      <c r="AF31" s="17">
        <f t="shared" si="7"/>
        <v>2.7231522163105306</v>
      </c>
      <c r="AG31" s="17">
        <f t="shared" si="7"/>
        <v>2.8133228194996209</v>
      </c>
      <c r="AH31" s="17">
        <f t="shared" si="7"/>
        <v>2.9034934226887117</v>
      </c>
      <c r="AI31" s="17">
        <f t="shared" si="7"/>
        <v>2.993664025877802</v>
      </c>
      <c r="AJ31" s="17">
        <f t="shared" si="7"/>
        <v>3.0838346290668923</v>
      </c>
      <c r="AK31" s="17">
        <f t="shared" si="7"/>
        <v>3.1740052322559831</v>
      </c>
      <c r="AL31" s="17">
        <f t="shared" si="7"/>
        <v>3.2641758354450734</v>
      </c>
      <c r="AM31" s="17">
        <f t="shared" si="7"/>
        <v>3.3543464386341633</v>
      </c>
      <c r="AN31" s="17">
        <f t="shared" si="7"/>
        <v>3.444517041823254</v>
      </c>
      <c r="AO31" s="17">
        <f t="shared" si="7"/>
        <v>3.5346876450123443</v>
      </c>
      <c r="AP31" s="17">
        <f t="shared" si="7"/>
        <v>3.6248582482014351</v>
      </c>
      <c r="AQ31" s="17">
        <f t="shared" si="7"/>
        <v>3.7150288513905259</v>
      </c>
      <c r="AR31" s="17">
        <f t="shared" si="7"/>
        <v>3.8051994545796157</v>
      </c>
      <c r="AS31" s="17">
        <f t="shared" si="7"/>
        <v>3.895370057768706</v>
      </c>
      <c r="AT31" s="17">
        <f t="shared" si="7"/>
        <v>3.9855406609577968</v>
      </c>
      <c r="AU31" s="17">
        <f t="shared" si="7"/>
        <v>4.0757112641468876</v>
      </c>
      <c r="AV31" s="17">
        <f t="shared" ref="C31:BJ35" si="8">($B$1/1000)*((AV$5+1)/1.01325)*(273.15/(273.15+$A31))*$B$2</f>
        <v>4.1658818673359779</v>
      </c>
      <c r="AW31" s="17">
        <f t="shared" si="8"/>
        <v>4.2560524705250673</v>
      </c>
      <c r="AX31" s="17">
        <f t="shared" si="8"/>
        <v>4.3462230737141585</v>
      </c>
      <c r="AY31" s="17">
        <f t="shared" si="8"/>
        <v>4.4363936769032488</v>
      </c>
      <c r="AZ31" s="17">
        <f t="shared" si="8"/>
        <v>4.5265642800923391</v>
      </c>
      <c r="BA31" s="17">
        <f t="shared" si="8"/>
        <v>4.6167348832814294</v>
      </c>
      <c r="BB31" s="17">
        <f t="shared" si="8"/>
        <v>4.7069054864705206</v>
      </c>
      <c r="BC31" s="17">
        <f t="shared" si="8"/>
        <v>4.7970760896596101</v>
      </c>
      <c r="BD31" s="17">
        <f t="shared" si="8"/>
        <v>4.8872466928487004</v>
      </c>
      <c r="BE31" s="17">
        <f t="shared" si="8"/>
        <v>4.9774172960377916</v>
      </c>
      <c r="BF31" s="17">
        <f t="shared" si="8"/>
        <v>5.067587899226881</v>
      </c>
      <c r="BG31" s="17">
        <f t="shared" si="8"/>
        <v>5.1577585024159722</v>
      </c>
      <c r="BH31" s="17">
        <f t="shared" si="8"/>
        <v>5.2479291056050625</v>
      </c>
      <c r="BI31" s="17">
        <f t="shared" si="8"/>
        <v>5.3380997087941537</v>
      </c>
      <c r="BJ31" s="17">
        <f t="shared" si="8"/>
        <v>5.4282703119832441</v>
      </c>
    </row>
    <row r="32" spans="1:62" ht="18.75">
      <c r="A32" s="1">
        <v>32</v>
      </c>
      <c r="B32" s="17">
        <f t="shared" si="1"/>
        <v>1.7915922239405382E-2</v>
      </c>
      <c r="C32" s="17">
        <f t="shared" si="8"/>
        <v>0.10749553343643228</v>
      </c>
      <c r="D32" s="17">
        <f t="shared" si="8"/>
        <v>0.19707514463345921</v>
      </c>
      <c r="E32" s="17">
        <f t="shared" si="8"/>
        <v>0.28665475583048611</v>
      </c>
      <c r="F32" s="17">
        <f t="shared" si="8"/>
        <v>0.37623436702751295</v>
      </c>
      <c r="G32" s="17">
        <f t="shared" si="8"/>
        <v>0.46581397822453996</v>
      </c>
      <c r="H32" s="17">
        <f t="shared" si="8"/>
        <v>0.5553935894215668</v>
      </c>
      <c r="I32" s="17">
        <f t="shared" si="8"/>
        <v>0.64497320061859376</v>
      </c>
      <c r="J32" s="17">
        <f t="shared" si="8"/>
        <v>0.7345528118156206</v>
      </c>
      <c r="K32" s="17">
        <f t="shared" si="8"/>
        <v>0.82413242301264755</v>
      </c>
      <c r="L32" s="17">
        <f t="shared" si="8"/>
        <v>0.9137120342096744</v>
      </c>
      <c r="M32" s="17">
        <f t="shared" si="8"/>
        <v>1.0032916454067011</v>
      </c>
      <c r="N32" s="17">
        <f t="shared" si="8"/>
        <v>1.0928712566037282</v>
      </c>
      <c r="O32" s="17">
        <f t="shared" si="8"/>
        <v>1.182450867800755</v>
      </c>
      <c r="P32" s="17">
        <f t="shared" si="8"/>
        <v>1.2720304789977819</v>
      </c>
      <c r="Q32" s="17">
        <f t="shared" si="8"/>
        <v>1.3616100901948089</v>
      </c>
      <c r="R32" s="17">
        <f t="shared" si="8"/>
        <v>1.4511897013918358</v>
      </c>
      <c r="S32" s="17">
        <f t="shared" si="8"/>
        <v>1.5407693125888626</v>
      </c>
      <c r="T32" s="17">
        <f t="shared" si="8"/>
        <v>1.6303489237858897</v>
      </c>
      <c r="U32" s="17">
        <f t="shared" si="8"/>
        <v>1.7199285349829165</v>
      </c>
      <c r="V32" s="17">
        <f t="shared" si="8"/>
        <v>1.8095081461799434</v>
      </c>
      <c r="W32" s="17">
        <f t="shared" si="8"/>
        <v>1.8990877573769702</v>
      </c>
      <c r="X32" s="17">
        <f t="shared" si="8"/>
        <v>1.9886673685739973</v>
      </c>
      <c r="Y32" s="17">
        <f t="shared" si="8"/>
        <v>2.0782469797710243</v>
      </c>
      <c r="Z32" s="17">
        <f t="shared" si="8"/>
        <v>2.1678265909680512</v>
      </c>
      <c r="AA32" s="17">
        <f t="shared" si="8"/>
        <v>2.257406202165078</v>
      </c>
      <c r="AB32" s="17">
        <f t="shared" si="8"/>
        <v>2.3469858133621044</v>
      </c>
      <c r="AC32" s="17">
        <f t="shared" si="8"/>
        <v>2.4365654245591313</v>
      </c>
      <c r="AD32" s="17">
        <f t="shared" si="8"/>
        <v>2.5261450357561586</v>
      </c>
      <c r="AE32" s="17">
        <f t="shared" si="8"/>
        <v>2.6157246469531854</v>
      </c>
      <c r="AF32" s="17">
        <f t="shared" si="8"/>
        <v>2.7053042581502122</v>
      </c>
      <c r="AG32" s="17">
        <f t="shared" si="8"/>
        <v>2.7948838693472395</v>
      </c>
      <c r="AH32" s="17">
        <f t="shared" si="8"/>
        <v>2.8844634805442664</v>
      </c>
      <c r="AI32" s="17">
        <f t="shared" si="8"/>
        <v>2.9740430917412932</v>
      </c>
      <c r="AJ32" s="17">
        <f t="shared" si="8"/>
        <v>3.0636227029383201</v>
      </c>
      <c r="AK32" s="17">
        <f t="shared" si="8"/>
        <v>3.1532023141353474</v>
      </c>
      <c r="AL32" s="17">
        <f t="shared" si="8"/>
        <v>3.2427819253323742</v>
      </c>
      <c r="AM32" s="17">
        <f t="shared" si="8"/>
        <v>3.332361536529401</v>
      </c>
      <c r="AN32" s="17">
        <f t="shared" si="8"/>
        <v>3.4219411477264279</v>
      </c>
      <c r="AO32" s="17">
        <f t="shared" si="8"/>
        <v>3.5115207589234547</v>
      </c>
      <c r="AP32" s="17">
        <f t="shared" si="8"/>
        <v>3.6011003701204816</v>
      </c>
      <c r="AQ32" s="17">
        <f t="shared" si="8"/>
        <v>3.6906799813175089</v>
      </c>
      <c r="AR32" s="17">
        <f t="shared" si="8"/>
        <v>3.7802595925145357</v>
      </c>
      <c r="AS32" s="17">
        <f t="shared" si="8"/>
        <v>3.8698392037115625</v>
      </c>
      <c r="AT32" s="17">
        <f t="shared" si="8"/>
        <v>3.9594188149085894</v>
      </c>
      <c r="AU32" s="17">
        <f t="shared" si="8"/>
        <v>4.0489984261056167</v>
      </c>
      <c r="AV32" s="17">
        <f t="shared" si="8"/>
        <v>4.1385780373026435</v>
      </c>
      <c r="AW32" s="17">
        <f t="shared" si="8"/>
        <v>4.2281576484996704</v>
      </c>
      <c r="AX32" s="17">
        <f t="shared" si="8"/>
        <v>4.3177372596966972</v>
      </c>
      <c r="AY32" s="17">
        <f t="shared" si="8"/>
        <v>4.407316870893724</v>
      </c>
      <c r="AZ32" s="17">
        <f t="shared" si="8"/>
        <v>4.4968964820907509</v>
      </c>
      <c r="BA32" s="17">
        <f t="shared" si="8"/>
        <v>4.5864760932877777</v>
      </c>
      <c r="BB32" s="17">
        <f t="shared" si="8"/>
        <v>4.6760557044848055</v>
      </c>
      <c r="BC32" s="17">
        <f t="shared" si="8"/>
        <v>4.7656353156818314</v>
      </c>
      <c r="BD32" s="17">
        <f t="shared" si="8"/>
        <v>4.8552149268788574</v>
      </c>
      <c r="BE32" s="17">
        <f t="shared" si="8"/>
        <v>4.9447945380758851</v>
      </c>
      <c r="BF32" s="17">
        <f t="shared" si="8"/>
        <v>5.0343741492729119</v>
      </c>
      <c r="BG32" s="17">
        <f t="shared" si="8"/>
        <v>5.1239537604699388</v>
      </c>
      <c r="BH32" s="17">
        <f t="shared" si="8"/>
        <v>5.2135333716669656</v>
      </c>
      <c r="BI32" s="17">
        <f t="shared" si="8"/>
        <v>5.3031129828639934</v>
      </c>
      <c r="BJ32" s="17">
        <f t="shared" si="8"/>
        <v>5.3926925940610193</v>
      </c>
    </row>
    <row r="33" spans="1:62" ht="18.75">
      <c r="A33" s="1">
        <v>34</v>
      </c>
      <c r="B33" s="17">
        <f t="shared" si="1"/>
        <v>1.7799263133174512E-2</v>
      </c>
      <c r="C33" s="17">
        <f t="shared" si="8"/>
        <v>0.10679557879904708</v>
      </c>
      <c r="D33" s="17">
        <f t="shared" si="8"/>
        <v>0.19579189446491965</v>
      </c>
      <c r="E33" s="17">
        <f t="shared" si="8"/>
        <v>0.2847882101307922</v>
      </c>
      <c r="F33" s="17">
        <f t="shared" si="8"/>
        <v>0.37378452579666471</v>
      </c>
      <c r="G33" s="17">
        <f t="shared" si="8"/>
        <v>0.4627808414625374</v>
      </c>
      <c r="H33" s="17">
        <f t="shared" si="8"/>
        <v>0.55177715712840991</v>
      </c>
      <c r="I33" s="17">
        <f t="shared" si="8"/>
        <v>0.64077347279428254</v>
      </c>
      <c r="J33" s="17">
        <f t="shared" si="8"/>
        <v>0.72976978846015494</v>
      </c>
      <c r="K33" s="17">
        <f t="shared" si="8"/>
        <v>0.81876610412602768</v>
      </c>
      <c r="L33" s="17">
        <f t="shared" si="8"/>
        <v>0.90776241979190031</v>
      </c>
      <c r="M33" s="17">
        <f t="shared" si="8"/>
        <v>0.99675873545777272</v>
      </c>
      <c r="N33" s="17">
        <f t="shared" si="8"/>
        <v>1.0857550511236456</v>
      </c>
      <c r="O33" s="17">
        <f t="shared" si="8"/>
        <v>1.1747513667895177</v>
      </c>
      <c r="P33" s="17">
        <f t="shared" si="8"/>
        <v>1.2637476824553904</v>
      </c>
      <c r="Q33" s="17">
        <f t="shared" si="8"/>
        <v>1.3527439981212632</v>
      </c>
      <c r="R33" s="17">
        <f t="shared" si="8"/>
        <v>1.4417403137871356</v>
      </c>
      <c r="S33" s="17">
        <f t="shared" si="8"/>
        <v>1.530736629453008</v>
      </c>
      <c r="T33" s="17">
        <f t="shared" si="8"/>
        <v>1.6197329451188809</v>
      </c>
      <c r="U33" s="17">
        <f t="shared" si="8"/>
        <v>1.7087292607847533</v>
      </c>
      <c r="V33" s="17">
        <f t="shared" si="8"/>
        <v>1.7977255764506259</v>
      </c>
      <c r="W33" s="17">
        <f t="shared" si="8"/>
        <v>1.8867218921164985</v>
      </c>
      <c r="X33" s="17">
        <f t="shared" si="8"/>
        <v>1.9757182077823709</v>
      </c>
      <c r="Y33" s="17">
        <f t="shared" si="8"/>
        <v>2.0647145234482434</v>
      </c>
      <c r="Z33" s="17">
        <f t="shared" si="8"/>
        <v>2.1537108391141162</v>
      </c>
      <c r="AA33" s="17">
        <f t="shared" si="8"/>
        <v>2.2427071547799886</v>
      </c>
      <c r="AB33" s="17">
        <f t="shared" si="8"/>
        <v>2.331703470445861</v>
      </c>
      <c r="AC33" s="17">
        <f t="shared" si="8"/>
        <v>2.4206997861117334</v>
      </c>
      <c r="AD33" s="17">
        <f t="shared" si="8"/>
        <v>2.5096961017776063</v>
      </c>
      <c r="AE33" s="17">
        <f t="shared" si="8"/>
        <v>2.5986924174434791</v>
      </c>
      <c r="AF33" s="17">
        <f t="shared" si="8"/>
        <v>2.6876887331093515</v>
      </c>
      <c r="AG33" s="17">
        <f t="shared" si="8"/>
        <v>2.7766850487752239</v>
      </c>
      <c r="AH33" s="17">
        <f t="shared" si="8"/>
        <v>2.8656813644410968</v>
      </c>
      <c r="AI33" s="17">
        <f t="shared" si="8"/>
        <v>2.9546776801069692</v>
      </c>
      <c r="AJ33" s="17">
        <f t="shared" si="8"/>
        <v>3.043673995772842</v>
      </c>
      <c r="AK33" s="17">
        <f t="shared" si="8"/>
        <v>3.1326703114387144</v>
      </c>
      <c r="AL33" s="17">
        <f t="shared" si="8"/>
        <v>3.2216666271045873</v>
      </c>
      <c r="AM33" s="17">
        <f t="shared" si="8"/>
        <v>3.3106629427704592</v>
      </c>
      <c r="AN33" s="17">
        <f t="shared" si="8"/>
        <v>3.3996592584363321</v>
      </c>
      <c r="AO33" s="17">
        <f t="shared" si="8"/>
        <v>3.4886555741022049</v>
      </c>
      <c r="AP33" s="17">
        <f t="shared" si="8"/>
        <v>3.5776518897680769</v>
      </c>
      <c r="AQ33" s="17">
        <f t="shared" si="8"/>
        <v>3.6666482054339498</v>
      </c>
      <c r="AR33" s="17">
        <f t="shared" si="8"/>
        <v>3.7556445210998226</v>
      </c>
      <c r="AS33" s="17">
        <f t="shared" si="8"/>
        <v>3.8446408367656946</v>
      </c>
      <c r="AT33" s="17">
        <f t="shared" si="8"/>
        <v>3.9336371524315674</v>
      </c>
      <c r="AU33" s="17">
        <f t="shared" si="8"/>
        <v>4.0226334680974398</v>
      </c>
      <c r="AV33" s="17">
        <f t="shared" si="8"/>
        <v>4.1116297837633127</v>
      </c>
      <c r="AW33" s="17">
        <f t="shared" si="8"/>
        <v>4.2006260994291846</v>
      </c>
      <c r="AX33" s="17">
        <f t="shared" si="8"/>
        <v>4.2896224150950575</v>
      </c>
      <c r="AY33" s="17">
        <f t="shared" si="8"/>
        <v>4.3786187307609303</v>
      </c>
      <c r="AZ33" s="17">
        <f t="shared" si="8"/>
        <v>4.4676150464268023</v>
      </c>
      <c r="BA33" s="17">
        <f t="shared" si="8"/>
        <v>4.5566113620926751</v>
      </c>
      <c r="BB33" s="17">
        <f t="shared" si="8"/>
        <v>4.6456076777585489</v>
      </c>
      <c r="BC33" s="17">
        <f t="shared" si="8"/>
        <v>4.73460399342442</v>
      </c>
      <c r="BD33" s="17">
        <f t="shared" si="8"/>
        <v>4.8236003090902928</v>
      </c>
      <c r="BE33" s="17">
        <f t="shared" si="8"/>
        <v>4.9125966247561657</v>
      </c>
      <c r="BF33" s="17">
        <f t="shared" si="8"/>
        <v>5.0015929404220376</v>
      </c>
      <c r="BG33" s="17">
        <f t="shared" si="8"/>
        <v>5.0905892560879105</v>
      </c>
      <c r="BH33" s="17">
        <f t="shared" si="8"/>
        <v>5.1795855717537833</v>
      </c>
      <c r="BI33" s="17">
        <f t="shared" si="8"/>
        <v>5.2685818874196562</v>
      </c>
      <c r="BJ33" s="17">
        <f t="shared" si="8"/>
        <v>5.3575782030855281</v>
      </c>
    </row>
    <row r="34" spans="1:62" ht="18.75">
      <c r="A34" s="1">
        <v>36</v>
      </c>
      <c r="B34" s="17">
        <f t="shared" si="1"/>
        <v>1.7684113444459169E-2</v>
      </c>
      <c r="C34" s="17">
        <f t="shared" si="8"/>
        <v>0.10610468066675501</v>
      </c>
      <c r="D34" s="17">
        <f t="shared" si="8"/>
        <v>0.19452524788905087</v>
      </c>
      <c r="E34" s="17">
        <f t="shared" si="8"/>
        <v>0.2829458151113467</v>
      </c>
      <c r="F34" s="17">
        <f t="shared" si="8"/>
        <v>0.3713663823336425</v>
      </c>
      <c r="G34" s="17">
        <f t="shared" si="8"/>
        <v>0.45978694955593846</v>
      </c>
      <c r="H34" s="17">
        <f t="shared" si="8"/>
        <v>0.54820751677823421</v>
      </c>
      <c r="I34" s="17">
        <f t="shared" si="8"/>
        <v>0.63662808400053017</v>
      </c>
      <c r="J34" s="17">
        <f t="shared" si="8"/>
        <v>0.7250486512228258</v>
      </c>
      <c r="K34" s="17">
        <f t="shared" si="8"/>
        <v>0.81346921844512177</v>
      </c>
      <c r="L34" s="17">
        <f t="shared" si="8"/>
        <v>0.90188978566741773</v>
      </c>
      <c r="M34" s="17">
        <f t="shared" si="8"/>
        <v>0.99031035288971336</v>
      </c>
      <c r="N34" s="17">
        <f t="shared" si="8"/>
        <v>1.0787309201120094</v>
      </c>
      <c r="O34" s="17">
        <f t="shared" si="8"/>
        <v>1.167151487334305</v>
      </c>
      <c r="P34" s="17">
        <f t="shared" si="8"/>
        <v>1.2555720545566009</v>
      </c>
      <c r="Q34" s="17">
        <f t="shared" si="8"/>
        <v>1.3439926217788969</v>
      </c>
      <c r="R34" s="17">
        <f t="shared" si="8"/>
        <v>1.4324131890011929</v>
      </c>
      <c r="S34" s="17">
        <f t="shared" si="8"/>
        <v>1.5208337562234884</v>
      </c>
      <c r="T34" s="17">
        <f t="shared" si="8"/>
        <v>1.6092543234457843</v>
      </c>
      <c r="U34" s="17">
        <f t="shared" si="8"/>
        <v>1.6976748906680801</v>
      </c>
      <c r="V34" s="17">
        <f t="shared" si="8"/>
        <v>1.7860954578903763</v>
      </c>
      <c r="W34" s="17">
        <f t="shared" si="8"/>
        <v>1.8745160251126718</v>
      </c>
      <c r="X34" s="17">
        <f t="shared" si="8"/>
        <v>1.962936592334968</v>
      </c>
      <c r="Y34" s="17">
        <f t="shared" si="8"/>
        <v>2.0513571595572637</v>
      </c>
      <c r="Z34" s="17">
        <f t="shared" si="8"/>
        <v>2.1397777267795592</v>
      </c>
      <c r="AA34" s="17">
        <f t="shared" si="8"/>
        <v>2.2281982940018557</v>
      </c>
      <c r="AB34" s="17">
        <f t="shared" si="8"/>
        <v>2.3166188612241507</v>
      </c>
      <c r="AC34" s="17">
        <f t="shared" si="8"/>
        <v>2.4050394284464467</v>
      </c>
      <c r="AD34" s="17">
        <f t="shared" si="8"/>
        <v>2.4934599956687431</v>
      </c>
      <c r="AE34" s="17">
        <f t="shared" si="8"/>
        <v>2.5818805628910386</v>
      </c>
      <c r="AF34" s="17">
        <f t="shared" si="8"/>
        <v>2.6703011301133346</v>
      </c>
      <c r="AG34" s="17">
        <f t="shared" si="8"/>
        <v>2.7587216973356306</v>
      </c>
      <c r="AH34" s="17">
        <f t="shared" si="8"/>
        <v>2.8471422645579261</v>
      </c>
      <c r="AI34" s="17">
        <f t="shared" si="8"/>
        <v>2.935562831780222</v>
      </c>
      <c r="AJ34" s="17">
        <f t="shared" si="8"/>
        <v>3.023983399002518</v>
      </c>
      <c r="AK34" s="17">
        <f t="shared" si="8"/>
        <v>3.112403966224814</v>
      </c>
      <c r="AL34" s="17">
        <f t="shared" si="8"/>
        <v>3.2008245334471095</v>
      </c>
      <c r="AM34" s="17">
        <f t="shared" si="8"/>
        <v>3.2892451006694059</v>
      </c>
      <c r="AN34" s="17">
        <f t="shared" si="8"/>
        <v>3.377665667891701</v>
      </c>
      <c r="AO34" s="17">
        <f t="shared" si="8"/>
        <v>3.4660862351139969</v>
      </c>
      <c r="AP34" s="17">
        <f t="shared" si="8"/>
        <v>3.5545068023362933</v>
      </c>
      <c r="AQ34" s="17">
        <f t="shared" si="8"/>
        <v>3.6429273695585884</v>
      </c>
      <c r="AR34" s="17">
        <f t="shared" si="8"/>
        <v>3.7313479367808844</v>
      </c>
      <c r="AS34" s="17">
        <f t="shared" si="8"/>
        <v>3.8197685040031808</v>
      </c>
      <c r="AT34" s="17">
        <f t="shared" si="8"/>
        <v>3.9081890712254759</v>
      </c>
      <c r="AU34" s="17">
        <f t="shared" si="8"/>
        <v>3.9966096384477723</v>
      </c>
      <c r="AV34" s="17">
        <f t="shared" si="8"/>
        <v>4.0850302056700682</v>
      </c>
      <c r="AW34" s="17">
        <f t="shared" si="8"/>
        <v>4.1734507728923642</v>
      </c>
      <c r="AX34" s="17">
        <f t="shared" si="8"/>
        <v>4.2618713401146593</v>
      </c>
      <c r="AY34" s="17">
        <f t="shared" si="8"/>
        <v>4.3502919073369553</v>
      </c>
      <c r="AZ34" s="17">
        <f t="shared" si="8"/>
        <v>4.4387124745592512</v>
      </c>
      <c r="BA34" s="17">
        <f t="shared" si="8"/>
        <v>4.5271330417815472</v>
      </c>
      <c r="BB34" s="17">
        <f t="shared" si="8"/>
        <v>4.615553609003844</v>
      </c>
      <c r="BC34" s="17">
        <f t="shared" si="8"/>
        <v>4.7039741762261391</v>
      </c>
      <c r="BD34" s="17">
        <f t="shared" si="8"/>
        <v>4.7923947434484342</v>
      </c>
      <c r="BE34" s="17">
        <f t="shared" si="8"/>
        <v>4.8808153106707302</v>
      </c>
      <c r="BF34" s="17">
        <f t="shared" si="8"/>
        <v>4.969235877893027</v>
      </c>
      <c r="BG34" s="17">
        <f t="shared" si="8"/>
        <v>5.0576564451153221</v>
      </c>
      <c r="BH34" s="17">
        <f t="shared" si="8"/>
        <v>5.1460770123376181</v>
      </c>
      <c r="BI34" s="17">
        <f t="shared" si="8"/>
        <v>5.2344975795599149</v>
      </c>
      <c r="BJ34" s="17">
        <f t="shared" si="8"/>
        <v>5.3229181467822091</v>
      </c>
    </row>
    <row r="35" spans="1:62" ht="18.75">
      <c r="A35" s="3">
        <v>38</v>
      </c>
      <c r="B35" s="17">
        <f t="shared" si="1"/>
        <v>1.7570444066702724E-2</v>
      </c>
      <c r="C35" s="17">
        <f t="shared" si="8"/>
        <v>0.10542266440021633</v>
      </c>
      <c r="D35" s="17">
        <f t="shared" si="8"/>
        <v>0.19327488473372995</v>
      </c>
      <c r="E35" s="17">
        <f t="shared" si="8"/>
        <v>0.28112710506724359</v>
      </c>
      <c r="F35" s="17">
        <f t="shared" si="8"/>
        <v>0.36897932540075717</v>
      </c>
      <c r="G35" s="17">
        <f t="shared" si="8"/>
        <v>0.45683154573427082</v>
      </c>
      <c r="H35" s="17">
        <f t="shared" si="8"/>
        <v>0.54468376606778446</v>
      </c>
      <c r="I35" s="17">
        <f t="shared" si="8"/>
        <v>0.63253598640129804</v>
      </c>
      <c r="J35" s="17">
        <f t="shared" si="8"/>
        <v>0.72038820673481152</v>
      </c>
      <c r="K35" s="17">
        <f t="shared" si="8"/>
        <v>0.80824042706832533</v>
      </c>
      <c r="L35" s="17">
        <f t="shared" si="8"/>
        <v>0.89609264740183892</v>
      </c>
      <c r="M35" s="17">
        <f t="shared" si="8"/>
        <v>0.98394486773535239</v>
      </c>
      <c r="N35" s="17">
        <f t="shared" si="8"/>
        <v>1.0717970880688661</v>
      </c>
      <c r="O35" s="17">
        <f t="shared" si="8"/>
        <v>1.1596493084023796</v>
      </c>
      <c r="P35" s="17">
        <f t="shared" si="8"/>
        <v>1.2475015287358933</v>
      </c>
      <c r="Q35" s="17">
        <f t="shared" si="8"/>
        <v>1.335353749069407</v>
      </c>
      <c r="R35" s="17">
        <f t="shared" si="8"/>
        <v>1.4232059694029207</v>
      </c>
      <c r="S35" s="17">
        <f t="shared" si="8"/>
        <v>1.5110581897364339</v>
      </c>
      <c r="T35" s="17">
        <f t="shared" si="8"/>
        <v>1.5989104100699481</v>
      </c>
      <c r="U35" s="17">
        <f t="shared" si="8"/>
        <v>1.6867626304034613</v>
      </c>
      <c r="V35" s="17">
        <f t="shared" si="8"/>
        <v>1.774614850736975</v>
      </c>
      <c r="W35" s="17">
        <f t="shared" si="8"/>
        <v>1.8624670710704887</v>
      </c>
      <c r="X35" s="17">
        <f t="shared" si="8"/>
        <v>1.9503192914040024</v>
      </c>
      <c r="Y35" s="17">
        <f t="shared" si="8"/>
        <v>2.0381715117375157</v>
      </c>
      <c r="Z35" s="17">
        <f t="shared" si="8"/>
        <v>2.1260237320710296</v>
      </c>
      <c r="AA35" s="17">
        <f t="shared" si="8"/>
        <v>2.213875952404543</v>
      </c>
      <c r="AB35" s="17">
        <f t="shared" si="8"/>
        <v>2.3017281727380565</v>
      </c>
      <c r="AC35" s="17">
        <f t="shared" si="8"/>
        <v>2.38958039307157</v>
      </c>
      <c r="AD35" s="17">
        <f t="shared" si="8"/>
        <v>2.4774326134050839</v>
      </c>
      <c r="AE35" s="17">
        <f t="shared" si="8"/>
        <v>2.5652848337385978</v>
      </c>
      <c r="AF35" s="17">
        <f t="shared" si="8"/>
        <v>2.6531370540721113</v>
      </c>
      <c r="AG35" s="17">
        <f t="shared" si="8"/>
        <v>2.7409892744056248</v>
      </c>
      <c r="AH35" s="17">
        <f t="shared" si="8"/>
        <v>2.8288414947391383</v>
      </c>
      <c r="AI35" s="17">
        <f t="shared" si="8"/>
        <v>2.9166937150726522</v>
      </c>
      <c r="AJ35" s="17">
        <f t="shared" si="8"/>
        <v>3.0045459354061657</v>
      </c>
      <c r="AK35" s="17">
        <f t="shared" si="8"/>
        <v>3.0923981557396791</v>
      </c>
      <c r="AL35" s="17">
        <f t="shared" si="8"/>
        <v>3.1802503760731931</v>
      </c>
      <c r="AM35" s="17">
        <f t="shared" si="8"/>
        <v>3.2681025964067061</v>
      </c>
      <c r="AN35" s="17">
        <f t="shared" si="8"/>
        <v>3.3559548167402204</v>
      </c>
      <c r="AO35" s="17">
        <f t="shared" si="8"/>
        <v>3.4438070370737335</v>
      </c>
      <c r="AP35" s="17">
        <f t="shared" si="8"/>
        <v>3.5316592574072478</v>
      </c>
      <c r="AQ35" s="17">
        <f t="shared" si="8"/>
        <v>3.6195114777407609</v>
      </c>
      <c r="AR35" s="17">
        <f t="shared" si="8"/>
        <v>3.7073636980742743</v>
      </c>
      <c r="AS35" s="17">
        <f t="shared" si="8"/>
        <v>3.7952159184077883</v>
      </c>
      <c r="AT35" s="17">
        <f t="shared" si="8"/>
        <v>3.8830681387413017</v>
      </c>
      <c r="AU35" s="17">
        <f t="shared" si="8"/>
        <v>3.9709203590748152</v>
      </c>
      <c r="AV35" s="17">
        <f t="shared" si="8"/>
        <v>4.0587725794083296</v>
      </c>
      <c r="AW35" s="17">
        <f t="shared" si="8"/>
        <v>4.1466247997418426</v>
      </c>
      <c r="AX35" s="17">
        <f t="shared" si="8"/>
        <v>4.2344770200753556</v>
      </c>
      <c r="AY35" s="17">
        <f t="shared" si="8"/>
        <v>4.3223292404088696</v>
      </c>
      <c r="AZ35" s="17">
        <f t="shared" si="8"/>
        <v>4.4101814607423835</v>
      </c>
      <c r="BA35" s="17">
        <f t="shared" si="8"/>
        <v>4.4980336810758974</v>
      </c>
      <c r="BB35" s="17">
        <f t="shared" si="8"/>
        <v>4.5858859014094113</v>
      </c>
      <c r="BC35" s="17">
        <f t="shared" si="8"/>
        <v>4.6737381217429244</v>
      </c>
      <c r="BD35" s="17">
        <f t="shared" si="8"/>
        <v>4.7615903420764374</v>
      </c>
      <c r="BE35" s="17">
        <f t="shared" si="8"/>
        <v>4.8494425624099513</v>
      </c>
      <c r="BF35" s="17">
        <f t="shared" si="8"/>
        <v>4.9372947827434643</v>
      </c>
      <c r="BG35" s="17">
        <f t="shared" si="8"/>
        <v>5.0251470030769791</v>
      </c>
      <c r="BH35" s="17">
        <f t="shared" si="8"/>
        <v>5.1129992234104922</v>
      </c>
      <c r="BI35" s="17">
        <f t="shared" si="8"/>
        <v>5.2008514437440061</v>
      </c>
      <c r="BJ35" s="17">
        <f t="shared" si="8"/>
        <v>5.28870366407752</v>
      </c>
    </row>
    <row r="36" spans="1:62" ht="18.75">
      <c r="A36" s="3">
        <v>40</v>
      </c>
      <c r="B36" s="17">
        <f t="shared" si="1"/>
        <v>1.7458226636929752E-2</v>
      </c>
      <c r="C36" s="17">
        <f t="shared" ref="C36:BJ40" si="9">($B$1/1000)*((C$5+1)/1.01325)*(273.15/(273.15+$A36))*$B$2</f>
        <v>0.10474935982157853</v>
      </c>
      <c r="D36" s="17">
        <f t="shared" si="9"/>
        <v>0.19204049300622728</v>
      </c>
      <c r="E36" s="17">
        <f t="shared" si="9"/>
        <v>0.27933162619087604</v>
      </c>
      <c r="F36" s="17">
        <f t="shared" si="9"/>
        <v>0.3666227593755248</v>
      </c>
      <c r="G36" s="17">
        <f t="shared" si="9"/>
        <v>0.45391389256017367</v>
      </c>
      <c r="H36" s="17">
        <f t="shared" si="9"/>
        <v>0.54120502574482243</v>
      </c>
      <c r="I36" s="17">
        <f t="shared" si="9"/>
        <v>0.62849615892947108</v>
      </c>
      <c r="J36" s="17">
        <f t="shared" si="9"/>
        <v>0.71578729211411984</v>
      </c>
      <c r="K36" s="17">
        <f t="shared" si="9"/>
        <v>0.80307842529876872</v>
      </c>
      <c r="L36" s="17">
        <f t="shared" si="9"/>
        <v>0.89036955848341748</v>
      </c>
      <c r="M36" s="17">
        <f t="shared" si="9"/>
        <v>0.97766069166806602</v>
      </c>
      <c r="N36" s="17">
        <f t="shared" si="9"/>
        <v>1.064951824852715</v>
      </c>
      <c r="O36" s="17">
        <f t="shared" si="9"/>
        <v>1.1522429580373637</v>
      </c>
      <c r="P36" s="17">
        <f t="shared" si="9"/>
        <v>1.2395340912220123</v>
      </c>
      <c r="Q36" s="17">
        <f t="shared" si="9"/>
        <v>1.3268252244066614</v>
      </c>
      <c r="R36" s="17">
        <f t="shared" si="9"/>
        <v>1.41411635759131</v>
      </c>
      <c r="S36" s="17">
        <f t="shared" si="9"/>
        <v>1.5014074907759585</v>
      </c>
      <c r="T36" s="17">
        <f t="shared" si="9"/>
        <v>1.5886986239606078</v>
      </c>
      <c r="U36" s="17">
        <f t="shared" si="9"/>
        <v>1.6759897571452564</v>
      </c>
      <c r="V36" s="17">
        <f t="shared" si="9"/>
        <v>1.7632808903299053</v>
      </c>
      <c r="W36" s="17">
        <f t="shared" si="9"/>
        <v>1.850572023514554</v>
      </c>
      <c r="X36" s="17">
        <f t="shared" si="9"/>
        <v>1.9378631566992028</v>
      </c>
      <c r="Y36" s="17">
        <f t="shared" si="9"/>
        <v>2.0251542898838517</v>
      </c>
      <c r="Z36" s="17">
        <f t="shared" si="9"/>
        <v>2.1124454230685004</v>
      </c>
      <c r="AA36" s="17">
        <f t="shared" si="9"/>
        <v>2.199736556253149</v>
      </c>
      <c r="AB36" s="17">
        <f t="shared" si="9"/>
        <v>2.2870276894377977</v>
      </c>
      <c r="AC36" s="17">
        <f t="shared" si="9"/>
        <v>2.3743188226224463</v>
      </c>
      <c r="AD36" s="17">
        <f t="shared" si="9"/>
        <v>2.4616099558070954</v>
      </c>
      <c r="AE36" s="17">
        <f t="shared" si="9"/>
        <v>2.5489010889917441</v>
      </c>
      <c r="AF36" s="17">
        <f t="shared" si="9"/>
        <v>2.6361922221763932</v>
      </c>
      <c r="AG36" s="17">
        <f t="shared" si="9"/>
        <v>2.7234833553610418</v>
      </c>
      <c r="AH36" s="17">
        <f t="shared" si="9"/>
        <v>2.81077448854569</v>
      </c>
      <c r="AI36" s="17">
        <f t="shared" si="9"/>
        <v>2.8980656217303391</v>
      </c>
      <c r="AJ36" s="17">
        <f t="shared" si="9"/>
        <v>2.9853567549149878</v>
      </c>
      <c r="AK36" s="17">
        <f t="shared" si="9"/>
        <v>3.0726478880996364</v>
      </c>
      <c r="AL36" s="17">
        <f t="shared" si="9"/>
        <v>3.1599390212842855</v>
      </c>
      <c r="AM36" s="17">
        <f t="shared" si="9"/>
        <v>3.2472301544689341</v>
      </c>
      <c r="AN36" s="17">
        <f t="shared" si="9"/>
        <v>3.3345212876535828</v>
      </c>
      <c r="AO36" s="17">
        <f t="shared" si="9"/>
        <v>3.4218124208382319</v>
      </c>
      <c r="AP36" s="17">
        <f t="shared" si="9"/>
        <v>3.5091035540228805</v>
      </c>
      <c r="AQ36" s="17">
        <f t="shared" si="9"/>
        <v>3.5963946872075292</v>
      </c>
      <c r="AR36" s="17">
        <f t="shared" si="9"/>
        <v>3.6836858203921778</v>
      </c>
      <c r="AS36" s="17">
        <f t="shared" si="9"/>
        <v>3.7709769535768269</v>
      </c>
      <c r="AT36" s="17">
        <f t="shared" si="9"/>
        <v>3.8582680867614756</v>
      </c>
      <c r="AU36" s="17">
        <f t="shared" si="9"/>
        <v>3.9455592199461242</v>
      </c>
      <c r="AV36" s="17">
        <f t="shared" si="9"/>
        <v>4.0328503531307733</v>
      </c>
      <c r="AW36" s="17">
        <f t="shared" si="9"/>
        <v>4.120141486315422</v>
      </c>
      <c r="AX36" s="17">
        <f t="shared" si="9"/>
        <v>4.2074326195000706</v>
      </c>
      <c r="AY36" s="17">
        <f t="shared" si="9"/>
        <v>4.2947237526847193</v>
      </c>
      <c r="AZ36" s="17">
        <f t="shared" si="9"/>
        <v>4.3820148858693679</v>
      </c>
      <c r="BA36" s="17">
        <f t="shared" si="9"/>
        <v>4.4693060190540166</v>
      </c>
      <c r="BB36" s="17">
        <f t="shared" si="9"/>
        <v>4.5565971522386661</v>
      </c>
      <c r="BC36" s="17">
        <f t="shared" si="9"/>
        <v>4.6438882854233148</v>
      </c>
      <c r="BD36" s="17">
        <f t="shared" si="9"/>
        <v>4.7311794186079625</v>
      </c>
      <c r="BE36" s="17">
        <f t="shared" si="9"/>
        <v>4.8184705517926121</v>
      </c>
      <c r="BF36" s="17">
        <f t="shared" si="9"/>
        <v>4.9057616849772607</v>
      </c>
      <c r="BG36" s="17">
        <f t="shared" si="9"/>
        <v>4.9930528181619094</v>
      </c>
      <c r="BH36" s="17">
        <f t="shared" si="9"/>
        <v>5.080343951346558</v>
      </c>
      <c r="BI36" s="17">
        <f t="shared" si="9"/>
        <v>5.1676350845312076</v>
      </c>
      <c r="BJ36" s="17">
        <f t="shared" si="9"/>
        <v>5.2549262177158562</v>
      </c>
    </row>
    <row r="37" spans="1:62" ht="18.75">
      <c r="A37" s="3">
        <v>42</v>
      </c>
      <c r="B37" s="17">
        <f t="shared" si="1"/>
        <v>1.7347433512151521E-2</v>
      </c>
      <c r="C37" s="17">
        <f t="shared" si="9"/>
        <v>0.10408460107290912</v>
      </c>
      <c r="D37" s="17">
        <f t="shared" si="9"/>
        <v>0.19082176863366673</v>
      </c>
      <c r="E37" s="17">
        <f t="shared" si="9"/>
        <v>0.27755893619442434</v>
      </c>
      <c r="F37" s="17">
        <f t="shared" si="9"/>
        <v>0.3642961037551819</v>
      </c>
      <c r="G37" s="17">
        <f t="shared" si="9"/>
        <v>0.45103327131593968</v>
      </c>
      <c r="H37" s="17">
        <f t="shared" si="9"/>
        <v>0.53777043887669729</v>
      </c>
      <c r="I37" s="17">
        <f t="shared" si="9"/>
        <v>0.62450760643745484</v>
      </c>
      <c r="J37" s="17">
        <f t="shared" si="9"/>
        <v>0.7112447739982124</v>
      </c>
      <c r="K37" s="17">
        <f t="shared" si="9"/>
        <v>0.79798194155897006</v>
      </c>
      <c r="L37" s="17">
        <f t="shared" si="9"/>
        <v>0.88471910911972762</v>
      </c>
      <c r="M37" s="17">
        <f t="shared" si="9"/>
        <v>0.97145627668048529</v>
      </c>
      <c r="N37" s="17">
        <f t="shared" si="9"/>
        <v>1.0581934442412431</v>
      </c>
      <c r="O37" s="17">
        <f t="shared" si="9"/>
        <v>1.1449306118020004</v>
      </c>
      <c r="P37" s="17">
        <f t="shared" si="9"/>
        <v>1.231667779362758</v>
      </c>
      <c r="Q37" s="17">
        <f t="shared" si="9"/>
        <v>1.3184049469235157</v>
      </c>
      <c r="R37" s="17">
        <f t="shared" si="9"/>
        <v>1.4051421144842735</v>
      </c>
      <c r="S37" s="17">
        <f t="shared" si="9"/>
        <v>1.4918792820450306</v>
      </c>
      <c r="T37" s="17">
        <f t="shared" si="9"/>
        <v>1.5786164496057886</v>
      </c>
      <c r="U37" s="17">
        <f t="shared" si="9"/>
        <v>1.665353617166546</v>
      </c>
      <c r="V37" s="17">
        <f t="shared" si="9"/>
        <v>1.7520907847273037</v>
      </c>
      <c r="W37" s="17">
        <f t="shared" si="9"/>
        <v>1.8388279522880615</v>
      </c>
      <c r="X37" s="17">
        <f t="shared" si="9"/>
        <v>1.9255651198488191</v>
      </c>
      <c r="Y37" s="17">
        <f t="shared" si="9"/>
        <v>2.0123022874095766</v>
      </c>
      <c r="Z37" s="17">
        <f t="shared" si="9"/>
        <v>2.0990394549703342</v>
      </c>
      <c r="AA37" s="17">
        <f t="shared" si="9"/>
        <v>2.1857766225310922</v>
      </c>
      <c r="AB37" s="17">
        <f t="shared" si="9"/>
        <v>2.2725137900918488</v>
      </c>
      <c r="AC37" s="17">
        <f t="shared" si="9"/>
        <v>2.3592509576526068</v>
      </c>
      <c r="AD37" s="17">
        <f t="shared" si="9"/>
        <v>2.4459881252133644</v>
      </c>
      <c r="AE37" s="17">
        <f t="shared" si="9"/>
        <v>2.5327252927741224</v>
      </c>
      <c r="AF37" s="17">
        <f t="shared" si="9"/>
        <v>2.6194624603348799</v>
      </c>
      <c r="AG37" s="17">
        <f t="shared" si="9"/>
        <v>2.7061996278956375</v>
      </c>
      <c r="AH37" s="17">
        <f t="shared" si="9"/>
        <v>2.7929367954563951</v>
      </c>
      <c r="AI37" s="17">
        <f t="shared" si="9"/>
        <v>2.8796739630171526</v>
      </c>
      <c r="AJ37" s="17">
        <f t="shared" si="9"/>
        <v>2.9664111305779102</v>
      </c>
      <c r="AK37" s="17">
        <f t="shared" si="9"/>
        <v>3.0531482981386677</v>
      </c>
      <c r="AL37" s="17">
        <f t="shared" si="9"/>
        <v>3.1398854656994253</v>
      </c>
      <c r="AM37" s="17">
        <f t="shared" si="9"/>
        <v>3.2266226332601833</v>
      </c>
      <c r="AN37" s="17">
        <f t="shared" si="9"/>
        <v>3.3133598008209408</v>
      </c>
      <c r="AO37" s="17">
        <f t="shared" si="9"/>
        <v>3.4000969683816988</v>
      </c>
      <c r="AP37" s="17">
        <f t="shared" si="9"/>
        <v>3.4868341359424559</v>
      </c>
      <c r="AQ37" s="17">
        <f t="shared" si="9"/>
        <v>3.5735713035032135</v>
      </c>
      <c r="AR37" s="17">
        <f t="shared" si="9"/>
        <v>3.6603084710639715</v>
      </c>
      <c r="AS37" s="17">
        <f t="shared" si="9"/>
        <v>3.7470456386247291</v>
      </c>
      <c r="AT37" s="17">
        <f t="shared" si="9"/>
        <v>3.8337828061854862</v>
      </c>
      <c r="AU37" s="17">
        <f t="shared" si="9"/>
        <v>3.9205199737462437</v>
      </c>
      <c r="AV37" s="17">
        <f t="shared" si="9"/>
        <v>4.0072571413070017</v>
      </c>
      <c r="AW37" s="17">
        <f t="shared" si="9"/>
        <v>4.0939943088677593</v>
      </c>
      <c r="AX37" s="17">
        <f t="shared" si="9"/>
        <v>4.1807314764285168</v>
      </c>
      <c r="AY37" s="17">
        <f t="shared" si="9"/>
        <v>4.2674686439892744</v>
      </c>
      <c r="AZ37" s="17">
        <f t="shared" si="9"/>
        <v>4.3542058115500319</v>
      </c>
      <c r="BA37" s="17">
        <f t="shared" si="9"/>
        <v>4.4409429791107895</v>
      </c>
      <c r="BB37" s="17">
        <f t="shared" si="9"/>
        <v>4.5276801466715479</v>
      </c>
      <c r="BC37" s="17">
        <f t="shared" si="9"/>
        <v>4.6144173142323046</v>
      </c>
      <c r="BD37" s="17">
        <f t="shared" si="9"/>
        <v>4.7011544817930622</v>
      </c>
      <c r="BE37" s="17">
        <f t="shared" si="9"/>
        <v>4.7878916493538206</v>
      </c>
      <c r="BF37" s="17">
        <f t="shared" si="9"/>
        <v>4.8746288169145782</v>
      </c>
      <c r="BG37" s="17">
        <f t="shared" si="9"/>
        <v>4.9613659844753348</v>
      </c>
      <c r="BH37" s="17">
        <f t="shared" si="9"/>
        <v>5.0481031520360933</v>
      </c>
      <c r="BI37" s="17">
        <f t="shared" si="9"/>
        <v>5.1348403195968517</v>
      </c>
      <c r="BJ37" s="17">
        <f t="shared" si="9"/>
        <v>5.2215774871576084</v>
      </c>
    </row>
    <row r="38" spans="1:62" ht="18.75">
      <c r="A38" s="3">
        <v>44</v>
      </c>
      <c r="B38" s="17">
        <f t="shared" si="1"/>
        <v>1.7238037746664204E-2</v>
      </c>
      <c r="C38" s="17">
        <f t="shared" si="9"/>
        <v>0.10342822647998522</v>
      </c>
      <c r="D38" s="17">
        <f t="shared" si="9"/>
        <v>0.18961841521330622</v>
      </c>
      <c r="E38" s="17">
        <f t="shared" si="9"/>
        <v>0.27580860394662726</v>
      </c>
      <c r="F38" s="17">
        <f t="shared" si="9"/>
        <v>0.36199879267994822</v>
      </c>
      <c r="G38" s="17">
        <f t="shared" si="9"/>
        <v>0.44818898141326935</v>
      </c>
      <c r="H38" s="17">
        <f t="shared" si="9"/>
        <v>0.53437917014659031</v>
      </c>
      <c r="I38" s="17">
        <f t="shared" si="9"/>
        <v>0.62056935887991138</v>
      </c>
      <c r="J38" s="17">
        <f t="shared" si="9"/>
        <v>0.70675954761323223</v>
      </c>
      <c r="K38" s="17">
        <f t="shared" si="9"/>
        <v>0.79294973634655341</v>
      </c>
      <c r="L38" s="17">
        <f t="shared" si="9"/>
        <v>0.87913992507987437</v>
      </c>
      <c r="M38" s="17">
        <f t="shared" si="9"/>
        <v>0.96533011381319522</v>
      </c>
      <c r="N38" s="17">
        <f t="shared" si="9"/>
        <v>1.0515203025465165</v>
      </c>
      <c r="O38" s="17">
        <f t="shared" si="9"/>
        <v>1.1377104912798373</v>
      </c>
      <c r="P38" s="17">
        <f t="shared" si="9"/>
        <v>1.2239006800131582</v>
      </c>
      <c r="Q38" s="17">
        <f t="shared" si="9"/>
        <v>1.3100908687464794</v>
      </c>
      <c r="R38" s="17">
        <f t="shared" si="9"/>
        <v>1.3962810574798006</v>
      </c>
      <c r="S38" s="17">
        <f t="shared" si="9"/>
        <v>1.4824712462131211</v>
      </c>
      <c r="T38" s="17">
        <f t="shared" si="9"/>
        <v>1.5686614349464427</v>
      </c>
      <c r="U38" s="17">
        <f t="shared" si="9"/>
        <v>1.6548516236797635</v>
      </c>
      <c r="V38" s="17">
        <f t="shared" si="9"/>
        <v>1.7410418124130846</v>
      </c>
      <c r="W38" s="17">
        <f t="shared" si="9"/>
        <v>1.8272320011464054</v>
      </c>
      <c r="X38" s="17">
        <f t="shared" si="9"/>
        <v>1.9134221898797266</v>
      </c>
      <c r="Y38" s="17">
        <f t="shared" si="9"/>
        <v>1.9996123786130477</v>
      </c>
      <c r="Z38" s="17">
        <f t="shared" si="9"/>
        <v>2.0858025673463687</v>
      </c>
      <c r="AA38" s="17">
        <f t="shared" si="9"/>
        <v>2.1719927560796894</v>
      </c>
      <c r="AB38" s="17">
        <f t="shared" si="9"/>
        <v>2.2581829448130106</v>
      </c>
      <c r="AC38" s="17">
        <f t="shared" si="9"/>
        <v>2.3443731335463314</v>
      </c>
      <c r="AD38" s="17">
        <f t="shared" si="9"/>
        <v>2.4305633222796525</v>
      </c>
      <c r="AE38" s="17">
        <f t="shared" si="9"/>
        <v>2.5167535110129733</v>
      </c>
      <c r="AF38" s="17">
        <f t="shared" si="9"/>
        <v>2.6029436997462945</v>
      </c>
      <c r="AG38" s="17">
        <f t="shared" si="9"/>
        <v>2.6891338884796157</v>
      </c>
      <c r="AH38" s="17">
        <f t="shared" si="9"/>
        <v>2.7753240772129364</v>
      </c>
      <c r="AI38" s="17">
        <f t="shared" si="9"/>
        <v>2.8615142659462576</v>
      </c>
      <c r="AJ38" s="17">
        <f t="shared" si="9"/>
        <v>2.9477044546795788</v>
      </c>
      <c r="AK38" s="17">
        <f t="shared" si="9"/>
        <v>3.0338946434128995</v>
      </c>
      <c r="AL38" s="17">
        <f t="shared" si="9"/>
        <v>3.1200848321462207</v>
      </c>
      <c r="AM38" s="17">
        <f t="shared" si="9"/>
        <v>3.2062750208795414</v>
      </c>
      <c r="AN38" s="17">
        <f t="shared" si="9"/>
        <v>3.292465209612863</v>
      </c>
      <c r="AO38" s="17">
        <f t="shared" si="9"/>
        <v>3.3786553983461838</v>
      </c>
      <c r="AP38" s="17">
        <f t="shared" si="9"/>
        <v>3.4648455870795045</v>
      </c>
      <c r="AQ38" s="17">
        <f t="shared" si="9"/>
        <v>3.5510357758128253</v>
      </c>
      <c r="AR38" s="17">
        <f t="shared" si="9"/>
        <v>3.6372259645461469</v>
      </c>
      <c r="AS38" s="17">
        <f t="shared" si="9"/>
        <v>3.7234161532794676</v>
      </c>
      <c r="AT38" s="17">
        <f t="shared" si="9"/>
        <v>3.8096063420127884</v>
      </c>
      <c r="AU38" s="17">
        <f t="shared" si="9"/>
        <v>3.89579653074611</v>
      </c>
      <c r="AV38" s="17">
        <f t="shared" si="9"/>
        <v>3.9819867194794307</v>
      </c>
      <c r="AW38" s="17">
        <f t="shared" si="9"/>
        <v>4.0681769082127515</v>
      </c>
      <c r="AX38" s="17">
        <f t="shared" si="9"/>
        <v>4.1543670969460731</v>
      </c>
      <c r="AY38" s="17">
        <f t="shared" si="9"/>
        <v>4.2405572856793938</v>
      </c>
      <c r="AZ38" s="17">
        <f t="shared" si="9"/>
        <v>4.3267474744127146</v>
      </c>
      <c r="BA38" s="17">
        <f t="shared" si="9"/>
        <v>4.4129376631460362</v>
      </c>
      <c r="BB38" s="17">
        <f t="shared" si="9"/>
        <v>4.4991278518793578</v>
      </c>
      <c r="BC38" s="17">
        <f t="shared" si="9"/>
        <v>4.5853180406126777</v>
      </c>
      <c r="BD38" s="17">
        <f t="shared" si="9"/>
        <v>4.6715082293459984</v>
      </c>
      <c r="BE38" s="17">
        <f t="shared" si="9"/>
        <v>4.75769841807932</v>
      </c>
      <c r="BF38" s="17">
        <f t="shared" si="9"/>
        <v>4.8438886068126408</v>
      </c>
      <c r="BG38" s="17">
        <f t="shared" si="9"/>
        <v>4.9300787955459615</v>
      </c>
      <c r="BH38" s="17">
        <f t="shared" si="9"/>
        <v>5.0162689842792831</v>
      </c>
      <c r="BI38" s="17">
        <f t="shared" si="9"/>
        <v>5.1024591730126048</v>
      </c>
      <c r="BJ38" s="17">
        <f t="shared" si="9"/>
        <v>5.1886493617459246</v>
      </c>
    </row>
    <row r="39" spans="1:62" ht="18.75">
      <c r="A39" s="3">
        <v>46</v>
      </c>
      <c r="B39" s="17">
        <f t="shared" si="1"/>
        <v>1.7130013070200695E-2</v>
      </c>
      <c r="C39" s="17">
        <f t="shared" si="9"/>
        <v>0.10278007842120418</v>
      </c>
      <c r="D39" s="17">
        <f t="shared" si="9"/>
        <v>0.18843014377220765</v>
      </c>
      <c r="E39" s="17">
        <f t="shared" si="9"/>
        <v>0.27408020912321113</v>
      </c>
      <c r="F39" s="17">
        <f t="shared" si="9"/>
        <v>0.35973027447421457</v>
      </c>
      <c r="G39" s="17">
        <f t="shared" si="9"/>
        <v>0.44538033982521813</v>
      </c>
      <c r="H39" s="17">
        <f t="shared" si="9"/>
        <v>0.53103040517622158</v>
      </c>
      <c r="I39" s="17">
        <f t="shared" si="9"/>
        <v>0.61668047052722508</v>
      </c>
      <c r="J39" s="17">
        <f t="shared" si="9"/>
        <v>0.70233053587822847</v>
      </c>
      <c r="K39" s="17">
        <f t="shared" si="9"/>
        <v>0.78798060122923208</v>
      </c>
      <c r="L39" s="17">
        <f t="shared" si="9"/>
        <v>0.87363066658023558</v>
      </c>
      <c r="M39" s="17">
        <f t="shared" si="9"/>
        <v>0.95928073193123886</v>
      </c>
      <c r="N39" s="17">
        <f t="shared" si="9"/>
        <v>1.0449307972822426</v>
      </c>
      <c r="O39" s="17">
        <f t="shared" si="9"/>
        <v>1.1305808626332459</v>
      </c>
      <c r="P39" s="17">
        <f t="shared" si="9"/>
        <v>1.2162309279842494</v>
      </c>
      <c r="Q39" s="17">
        <f t="shared" si="9"/>
        <v>1.3018809933352531</v>
      </c>
      <c r="R39" s="17">
        <f t="shared" si="9"/>
        <v>1.3875310586862564</v>
      </c>
      <c r="S39" s="17">
        <f t="shared" si="9"/>
        <v>1.4731811240372596</v>
      </c>
      <c r="T39" s="17">
        <f t="shared" si="9"/>
        <v>1.5588311893882634</v>
      </c>
      <c r="U39" s="17">
        <f t="shared" si="9"/>
        <v>1.6444812547392669</v>
      </c>
      <c r="V39" s="17">
        <f t="shared" si="9"/>
        <v>1.7301313200902704</v>
      </c>
      <c r="W39" s="17">
        <f t="shared" si="9"/>
        <v>1.8157813854412739</v>
      </c>
      <c r="X39" s="17">
        <f t="shared" si="9"/>
        <v>1.9014314507922774</v>
      </c>
      <c r="Y39" s="17">
        <f t="shared" si="9"/>
        <v>1.9870815161432809</v>
      </c>
      <c r="Z39" s="17">
        <f t="shared" si="9"/>
        <v>2.0727315814942844</v>
      </c>
      <c r="AA39" s="17">
        <f t="shared" si="9"/>
        <v>2.1583816468452879</v>
      </c>
      <c r="AB39" s="17">
        <f t="shared" si="9"/>
        <v>2.2440317121962909</v>
      </c>
      <c r="AC39" s="17">
        <f t="shared" si="9"/>
        <v>2.3296817775472944</v>
      </c>
      <c r="AD39" s="17">
        <f t="shared" si="9"/>
        <v>2.4153318428982984</v>
      </c>
      <c r="AE39" s="17">
        <f t="shared" si="9"/>
        <v>2.5009819082493019</v>
      </c>
      <c r="AF39" s="17">
        <f t="shared" si="9"/>
        <v>2.5866319736003049</v>
      </c>
      <c r="AG39" s="17">
        <f t="shared" si="9"/>
        <v>2.6722820389513084</v>
      </c>
      <c r="AH39" s="17">
        <f t="shared" si="9"/>
        <v>2.7579321043023119</v>
      </c>
      <c r="AI39" s="17">
        <f t="shared" si="9"/>
        <v>2.8435821696533155</v>
      </c>
      <c r="AJ39" s="17">
        <f t="shared" si="9"/>
        <v>2.929232235004319</v>
      </c>
      <c r="AK39" s="17">
        <f t="shared" si="9"/>
        <v>3.0148823003553225</v>
      </c>
      <c r="AL39" s="17">
        <f t="shared" si="9"/>
        <v>3.100532365706326</v>
      </c>
      <c r="AM39" s="17">
        <f t="shared" si="9"/>
        <v>3.1861824310573295</v>
      </c>
      <c r="AN39" s="17">
        <f t="shared" si="9"/>
        <v>3.2718324964083325</v>
      </c>
      <c r="AO39" s="17">
        <f t="shared" si="9"/>
        <v>3.3574825617593365</v>
      </c>
      <c r="AP39" s="17">
        <f t="shared" si="9"/>
        <v>3.4431326271103395</v>
      </c>
      <c r="AQ39" s="17">
        <f t="shared" si="9"/>
        <v>3.5287826924613435</v>
      </c>
      <c r="AR39" s="17">
        <f t="shared" si="9"/>
        <v>3.6144327578123465</v>
      </c>
      <c r="AS39" s="17">
        <f t="shared" si="9"/>
        <v>3.7000828231633505</v>
      </c>
      <c r="AT39" s="17">
        <f t="shared" si="9"/>
        <v>3.7857328885143535</v>
      </c>
      <c r="AU39" s="17">
        <f t="shared" si="9"/>
        <v>3.8713829538653575</v>
      </c>
      <c r="AV39" s="17">
        <f t="shared" si="9"/>
        <v>3.9570330192163605</v>
      </c>
      <c r="AW39" s="17">
        <f t="shared" si="9"/>
        <v>4.042683084567364</v>
      </c>
      <c r="AX39" s="17">
        <f t="shared" si="9"/>
        <v>4.1283331499183671</v>
      </c>
      <c r="AY39" s="17">
        <f t="shared" si="9"/>
        <v>4.213983215269371</v>
      </c>
      <c r="AZ39" s="17">
        <f t="shared" si="9"/>
        <v>4.2996332806203741</v>
      </c>
      <c r="BA39" s="17">
        <f t="shared" si="9"/>
        <v>4.385283345971378</v>
      </c>
      <c r="BB39" s="17">
        <f t="shared" si="9"/>
        <v>4.470933411322382</v>
      </c>
      <c r="BC39" s="17">
        <f t="shared" si="9"/>
        <v>4.556583476673385</v>
      </c>
      <c r="BD39" s="17">
        <f t="shared" si="9"/>
        <v>4.6422335420243872</v>
      </c>
      <c r="BE39" s="17">
        <f t="shared" si="9"/>
        <v>4.727883607375392</v>
      </c>
      <c r="BF39" s="17">
        <f t="shared" si="9"/>
        <v>4.8135336727263951</v>
      </c>
      <c r="BG39" s="17">
        <f t="shared" si="9"/>
        <v>4.899183738077399</v>
      </c>
      <c r="BH39" s="17">
        <f t="shared" si="9"/>
        <v>4.9848338034284021</v>
      </c>
      <c r="BI39" s="17">
        <f t="shared" si="9"/>
        <v>5.0704838687794069</v>
      </c>
      <c r="BJ39" s="17">
        <f t="shared" si="9"/>
        <v>5.1561339341304091</v>
      </c>
    </row>
    <row r="40" spans="1:62" ht="18.75">
      <c r="A40" s="3">
        <v>48</v>
      </c>
      <c r="B40" s="17">
        <f t="shared" si="1"/>
        <v>1.7023333866898808E-2</v>
      </c>
      <c r="C40" s="17">
        <f t="shared" si="9"/>
        <v>0.10214000320139285</v>
      </c>
      <c r="D40" s="17">
        <f t="shared" si="9"/>
        <v>0.18725667253588688</v>
      </c>
      <c r="E40" s="17">
        <f t="shared" si="9"/>
        <v>0.27237334187038093</v>
      </c>
      <c r="F40" s="17">
        <f t="shared" si="9"/>
        <v>0.35749001120487495</v>
      </c>
      <c r="G40" s="17">
        <f t="shared" si="9"/>
        <v>0.44260668053936902</v>
      </c>
      <c r="H40" s="17">
        <f t="shared" si="9"/>
        <v>0.52772334987386305</v>
      </c>
      <c r="I40" s="17">
        <f t="shared" si="9"/>
        <v>0.61284001920835707</v>
      </c>
      <c r="J40" s="17">
        <f t="shared" si="9"/>
        <v>0.69795668854285109</v>
      </c>
      <c r="K40" s="17">
        <f t="shared" si="9"/>
        <v>0.78307335787734533</v>
      </c>
      <c r="L40" s="17">
        <f t="shared" si="9"/>
        <v>0.86819002721183924</v>
      </c>
      <c r="M40" s="17">
        <f t="shared" si="9"/>
        <v>0.95330669654633315</v>
      </c>
      <c r="N40" s="17">
        <f t="shared" si="9"/>
        <v>1.0384233658808273</v>
      </c>
      <c r="O40" s="17">
        <f t="shared" si="9"/>
        <v>1.1235400352153213</v>
      </c>
      <c r="P40" s="17">
        <f t="shared" si="9"/>
        <v>1.2086567045498153</v>
      </c>
      <c r="Q40" s="17">
        <f t="shared" si="9"/>
        <v>1.2937733738843096</v>
      </c>
      <c r="R40" s="17">
        <f t="shared" ref="C40:BJ44" si="10">($B$1/1000)*((R$5+1)/1.01325)*(273.15/(273.15+$A40))*$B$2</f>
        <v>1.3788900432188036</v>
      </c>
      <c r="S40" s="17">
        <f t="shared" si="10"/>
        <v>1.4640067125532974</v>
      </c>
      <c r="T40" s="17">
        <f t="shared" si="10"/>
        <v>1.5491233818877916</v>
      </c>
      <c r="U40" s="17">
        <f t="shared" si="10"/>
        <v>1.6342400512222857</v>
      </c>
      <c r="V40" s="17">
        <f t="shared" si="10"/>
        <v>1.7193567205567795</v>
      </c>
      <c r="W40" s="17">
        <f t="shared" si="10"/>
        <v>1.8044733898912737</v>
      </c>
      <c r="X40" s="17">
        <f t="shared" si="10"/>
        <v>1.8895900592257677</v>
      </c>
      <c r="Y40" s="17">
        <f t="shared" si="10"/>
        <v>1.974706728560262</v>
      </c>
      <c r="Z40" s="17">
        <f t="shared" si="10"/>
        <v>2.0598233978947555</v>
      </c>
      <c r="AA40" s="17">
        <f t="shared" si="10"/>
        <v>2.1449400672292498</v>
      </c>
      <c r="AB40" s="17">
        <f t="shared" si="10"/>
        <v>2.2300567365637436</v>
      </c>
      <c r="AC40" s="17">
        <f t="shared" si="10"/>
        <v>2.3151734058982378</v>
      </c>
      <c r="AD40" s="17">
        <f t="shared" si="10"/>
        <v>2.4002900752327321</v>
      </c>
      <c r="AE40" s="17">
        <f t="shared" si="10"/>
        <v>2.4854067445672259</v>
      </c>
      <c r="AF40" s="17">
        <f t="shared" si="10"/>
        <v>2.5705234139017201</v>
      </c>
      <c r="AG40" s="17">
        <f t="shared" si="10"/>
        <v>2.6556400832362139</v>
      </c>
      <c r="AH40" s="17">
        <f t="shared" si="10"/>
        <v>2.7407567525707082</v>
      </c>
      <c r="AI40" s="17">
        <f t="shared" si="10"/>
        <v>2.825873421905202</v>
      </c>
      <c r="AJ40" s="17">
        <f t="shared" si="10"/>
        <v>2.9109900912396962</v>
      </c>
      <c r="AK40" s="17">
        <f t="shared" si="10"/>
        <v>2.99610676057419</v>
      </c>
      <c r="AL40" s="17">
        <f t="shared" si="10"/>
        <v>3.0812234299086843</v>
      </c>
      <c r="AM40" s="17">
        <f t="shared" si="10"/>
        <v>3.1663400992431785</v>
      </c>
      <c r="AN40" s="17">
        <f t="shared" si="10"/>
        <v>3.2514567685776723</v>
      </c>
      <c r="AO40" s="17">
        <f t="shared" si="10"/>
        <v>3.3365734379121665</v>
      </c>
      <c r="AP40" s="17">
        <f t="shared" si="10"/>
        <v>3.4216901072466603</v>
      </c>
      <c r="AQ40" s="17">
        <f t="shared" si="10"/>
        <v>3.5068067765811541</v>
      </c>
      <c r="AR40" s="17">
        <f t="shared" si="10"/>
        <v>3.5919234459156488</v>
      </c>
      <c r="AS40" s="17">
        <f t="shared" si="10"/>
        <v>3.6770401152501426</v>
      </c>
      <c r="AT40" s="17">
        <f t="shared" si="10"/>
        <v>3.7621567845846364</v>
      </c>
      <c r="AU40" s="17">
        <f t="shared" si="10"/>
        <v>3.8472734539191307</v>
      </c>
      <c r="AV40" s="17">
        <f t="shared" si="10"/>
        <v>3.9323901232536245</v>
      </c>
      <c r="AW40" s="17">
        <f t="shared" si="10"/>
        <v>4.0175067925881187</v>
      </c>
      <c r="AX40" s="17">
        <f t="shared" si="10"/>
        <v>4.1026234619226125</v>
      </c>
      <c r="AY40" s="17">
        <f t="shared" si="10"/>
        <v>4.1877401312571063</v>
      </c>
      <c r="AZ40" s="17">
        <f t="shared" si="10"/>
        <v>4.272856800591601</v>
      </c>
      <c r="BA40" s="17">
        <f t="shared" si="10"/>
        <v>4.3579734699260948</v>
      </c>
      <c r="BB40" s="17">
        <f t="shared" si="10"/>
        <v>4.4430901392605895</v>
      </c>
      <c r="BC40" s="17">
        <f t="shared" si="10"/>
        <v>4.5282068085950833</v>
      </c>
      <c r="BD40" s="17">
        <f t="shared" si="10"/>
        <v>4.6133234779295762</v>
      </c>
      <c r="BE40" s="17">
        <f t="shared" si="10"/>
        <v>4.6984401472640709</v>
      </c>
      <c r="BF40" s="17">
        <f t="shared" si="10"/>
        <v>4.7835568165985647</v>
      </c>
      <c r="BG40" s="17">
        <f t="shared" si="10"/>
        <v>4.8686734859330585</v>
      </c>
      <c r="BH40" s="17">
        <f t="shared" si="10"/>
        <v>4.9537901552675532</v>
      </c>
      <c r="BI40" s="17">
        <f t="shared" si="10"/>
        <v>5.0389068246020479</v>
      </c>
      <c r="BJ40" s="17">
        <f t="shared" si="10"/>
        <v>5.1240234939365408</v>
      </c>
    </row>
    <row r="41" spans="1:62" ht="18.75">
      <c r="A41" s="3">
        <v>50</v>
      </c>
      <c r="B41" s="17">
        <f t="shared" si="1"/>
        <v>1.6917975155050446E-2</v>
      </c>
      <c r="C41" s="17">
        <f t="shared" si="10"/>
        <v>0.10150785093030269</v>
      </c>
      <c r="D41" s="17">
        <f t="shared" si="10"/>
        <v>0.18609772670555491</v>
      </c>
      <c r="E41" s="17">
        <f t="shared" si="10"/>
        <v>0.27068760248080714</v>
      </c>
      <c r="F41" s="17">
        <f t="shared" si="10"/>
        <v>0.35527747825605932</v>
      </c>
      <c r="G41" s="17">
        <f t="shared" si="10"/>
        <v>0.43986735403131166</v>
      </c>
      <c r="H41" s="17">
        <f t="shared" si="10"/>
        <v>0.52445722980656395</v>
      </c>
      <c r="I41" s="17">
        <f t="shared" si="10"/>
        <v>0.60904710558181607</v>
      </c>
      <c r="J41" s="17">
        <f t="shared" si="10"/>
        <v>0.69363698135706819</v>
      </c>
      <c r="K41" s="17">
        <f t="shared" si="10"/>
        <v>0.77822685713232065</v>
      </c>
      <c r="L41" s="17">
        <f t="shared" si="10"/>
        <v>0.86281673290757288</v>
      </c>
      <c r="M41" s="17">
        <f t="shared" si="10"/>
        <v>0.94740660868282489</v>
      </c>
      <c r="N41" s="17">
        <f t="shared" si="10"/>
        <v>1.0319964844580771</v>
      </c>
      <c r="O41" s="17">
        <f t="shared" si="10"/>
        <v>1.1165863602333295</v>
      </c>
      <c r="P41" s="17">
        <f t="shared" si="10"/>
        <v>1.2011762360085816</v>
      </c>
      <c r="Q41" s="17">
        <f t="shared" si="10"/>
        <v>1.2857661117838342</v>
      </c>
      <c r="R41" s="17">
        <f t="shared" si="10"/>
        <v>1.3703559875590863</v>
      </c>
      <c r="S41" s="17">
        <f t="shared" si="10"/>
        <v>1.4549458633343382</v>
      </c>
      <c r="T41" s="17">
        <f t="shared" si="10"/>
        <v>1.5395357391095907</v>
      </c>
      <c r="U41" s="17">
        <f t="shared" si="10"/>
        <v>1.6241256148848431</v>
      </c>
      <c r="V41" s="17">
        <f t="shared" si="10"/>
        <v>1.708715490660095</v>
      </c>
      <c r="W41" s="17">
        <f t="shared" si="10"/>
        <v>1.7933053664353473</v>
      </c>
      <c r="X41" s="17">
        <f t="shared" si="10"/>
        <v>1.8778952422105997</v>
      </c>
      <c r="Y41" s="17">
        <f t="shared" si="10"/>
        <v>1.9624851179858518</v>
      </c>
      <c r="Z41" s="17">
        <f t="shared" si="10"/>
        <v>2.0470749937611039</v>
      </c>
      <c r="AA41" s="17">
        <f t="shared" si="10"/>
        <v>2.1316648695363565</v>
      </c>
      <c r="AB41" s="17">
        <f t="shared" si="10"/>
        <v>2.2162547453116086</v>
      </c>
      <c r="AC41" s="17">
        <f t="shared" si="10"/>
        <v>2.3008446210868603</v>
      </c>
      <c r="AD41" s="17">
        <f t="shared" si="10"/>
        <v>2.3854344968621133</v>
      </c>
      <c r="AE41" s="17">
        <f t="shared" si="10"/>
        <v>2.470024372637365</v>
      </c>
      <c r="AF41" s="17">
        <f t="shared" si="10"/>
        <v>2.5546142484126175</v>
      </c>
      <c r="AG41" s="17">
        <f t="shared" si="10"/>
        <v>2.6392041241878696</v>
      </c>
      <c r="AH41" s="17">
        <f t="shared" si="10"/>
        <v>2.7237939999631222</v>
      </c>
      <c r="AI41" s="17">
        <f t="shared" si="10"/>
        <v>2.8083838757383739</v>
      </c>
      <c r="AJ41" s="17">
        <f t="shared" si="10"/>
        <v>2.8929737515136265</v>
      </c>
      <c r="AK41" s="17">
        <f t="shared" si="10"/>
        <v>2.9775636272888786</v>
      </c>
      <c r="AL41" s="17">
        <f t="shared" si="10"/>
        <v>3.0621535030641307</v>
      </c>
      <c r="AM41" s="17">
        <f t="shared" si="10"/>
        <v>3.1467433788393833</v>
      </c>
      <c r="AN41" s="17">
        <f t="shared" si="10"/>
        <v>3.2313332546146354</v>
      </c>
      <c r="AO41" s="17">
        <f t="shared" si="10"/>
        <v>3.315923130389888</v>
      </c>
      <c r="AP41" s="17">
        <f t="shared" si="10"/>
        <v>3.4005130061651401</v>
      </c>
      <c r="AQ41" s="17">
        <f t="shared" si="10"/>
        <v>3.4851028819403918</v>
      </c>
      <c r="AR41" s="17">
        <f t="shared" si="10"/>
        <v>3.5696927577156439</v>
      </c>
      <c r="AS41" s="17">
        <f t="shared" si="10"/>
        <v>3.6542826334908964</v>
      </c>
      <c r="AT41" s="17">
        <f t="shared" si="10"/>
        <v>3.7388725092661486</v>
      </c>
      <c r="AU41" s="17">
        <f t="shared" si="10"/>
        <v>3.8234623850414011</v>
      </c>
      <c r="AV41" s="17">
        <f t="shared" si="10"/>
        <v>3.9080522608166532</v>
      </c>
      <c r="AW41" s="17">
        <f t="shared" si="10"/>
        <v>3.9926421365919049</v>
      </c>
      <c r="AX41" s="17">
        <f t="shared" si="10"/>
        <v>4.0772320123671575</v>
      </c>
      <c r="AY41" s="17">
        <f t="shared" si="10"/>
        <v>4.1618218881424101</v>
      </c>
      <c r="AZ41" s="17">
        <f t="shared" si="10"/>
        <v>4.2464117639176617</v>
      </c>
      <c r="BA41" s="17">
        <f t="shared" si="10"/>
        <v>4.3310016396929143</v>
      </c>
      <c r="BB41" s="17">
        <f t="shared" si="10"/>
        <v>4.4155915154681669</v>
      </c>
      <c r="BC41" s="17">
        <f t="shared" si="10"/>
        <v>4.5001813912434185</v>
      </c>
      <c r="BD41" s="17">
        <f t="shared" si="10"/>
        <v>4.5847712670186702</v>
      </c>
      <c r="BE41" s="17">
        <f t="shared" si="10"/>
        <v>4.6693611427939228</v>
      </c>
      <c r="BF41" s="17">
        <f t="shared" si="10"/>
        <v>4.7539510185691753</v>
      </c>
      <c r="BG41" s="17">
        <f t="shared" si="10"/>
        <v>4.8385408943444279</v>
      </c>
      <c r="BH41" s="17">
        <f t="shared" si="10"/>
        <v>4.9231307701196805</v>
      </c>
      <c r="BI41" s="17">
        <f t="shared" si="10"/>
        <v>5.0077206458949322</v>
      </c>
      <c r="BJ41" s="17">
        <f t="shared" si="10"/>
        <v>5.0923105216701838</v>
      </c>
    </row>
    <row r="42" spans="1:62" ht="18.75">
      <c r="A42" s="3">
        <v>52</v>
      </c>
      <c r="B42" s="17">
        <f t="shared" si="1"/>
        <v>1.6813912567598191E-2</v>
      </c>
      <c r="C42" s="17">
        <f t="shared" si="10"/>
        <v>0.10088347540558915</v>
      </c>
      <c r="D42" s="17">
        <f t="shared" si="10"/>
        <v>0.18495303824358009</v>
      </c>
      <c r="E42" s="17">
        <f t="shared" si="10"/>
        <v>0.26902260108157106</v>
      </c>
      <c r="F42" s="17">
        <f t="shared" si="10"/>
        <v>0.353092163919562</v>
      </c>
      <c r="G42" s="17">
        <f t="shared" si="10"/>
        <v>0.43716172675755299</v>
      </c>
      <c r="H42" s="17">
        <f t="shared" si="10"/>
        <v>0.52123128959554388</v>
      </c>
      <c r="I42" s="17">
        <f t="shared" si="10"/>
        <v>0.60530085243353493</v>
      </c>
      <c r="J42" s="17">
        <f t="shared" si="10"/>
        <v>0.68937041527152576</v>
      </c>
      <c r="K42" s="17">
        <f t="shared" si="10"/>
        <v>0.77343997810951692</v>
      </c>
      <c r="L42" s="17">
        <f t="shared" si="10"/>
        <v>0.85750954094750786</v>
      </c>
      <c r="M42" s="17">
        <f t="shared" si="10"/>
        <v>0.94157910378549869</v>
      </c>
      <c r="N42" s="17">
        <f t="shared" si="10"/>
        <v>1.0256486666234899</v>
      </c>
      <c r="O42" s="17">
        <f t="shared" si="10"/>
        <v>1.1097182294614805</v>
      </c>
      <c r="P42" s="17">
        <f t="shared" si="10"/>
        <v>1.1937877922994715</v>
      </c>
      <c r="Q42" s="17">
        <f t="shared" si="10"/>
        <v>1.2778573551374626</v>
      </c>
      <c r="R42" s="17">
        <f t="shared" si="10"/>
        <v>1.3619269179754534</v>
      </c>
      <c r="S42" s="17">
        <f t="shared" si="10"/>
        <v>1.4459964808134442</v>
      </c>
      <c r="T42" s="17">
        <f t="shared" si="10"/>
        <v>1.5300660436514355</v>
      </c>
      <c r="U42" s="17">
        <f t="shared" si="10"/>
        <v>1.6141356064894263</v>
      </c>
      <c r="V42" s="17">
        <f t="shared" si="10"/>
        <v>1.6982051693274172</v>
      </c>
      <c r="W42" s="17">
        <f t="shared" si="10"/>
        <v>1.7822747321654082</v>
      </c>
      <c r="X42" s="17">
        <f t="shared" si="10"/>
        <v>1.8663442950033995</v>
      </c>
      <c r="Y42" s="17">
        <f t="shared" si="10"/>
        <v>1.9504138578413903</v>
      </c>
      <c r="Z42" s="17">
        <f t="shared" si="10"/>
        <v>2.0344834206793814</v>
      </c>
      <c r="AA42" s="17">
        <f t="shared" si="10"/>
        <v>2.1185529835173722</v>
      </c>
      <c r="AB42" s="17">
        <f t="shared" si="10"/>
        <v>2.2026225463553626</v>
      </c>
      <c r="AC42" s="17">
        <f t="shared" si="10"/>
        <v>2.2866921091933539</v>
      </c>
      <c r="AD42" s="17">
        <f t="shared" si="10"/>
        <v>2.3707616720313451</v>
      </c>
      <c r="AE42" s="17">
        <f t="shared" si="10"/>
        <v>2.454831234869336</v>
      </c>
      <c r="AF42" s="17">
        <f t="shared" si="10"/>
        <v>2.5389007977073268</v>
      </c>
      <c r="AG42" s="17">
        <f t="shared" si="10"/>
        <v>2.6229703605453176</v>
      </c>
      <c r="AH42" s="17">
        <f t="shared" si="10"/>
        <v>2.7070399233833089</v>
      </c>
      <c r="AI42" s="17">
        <f t="shared" si="10"/>
        <v>2.7911094862212997</v>
      </c>
      <c r="AJ42" s="17">
        <f t="shared" si="10"/>
        <v>2.8751790490592906</v>
      </c>
      <c r="AK42" s="17">
        <f t="shared" si="10"/>
        <v>2.9592486118972814</v>
      </c>
      <c r="AL42" s="17">
        <f t="shared" si="10"/>
        <v>3.0433181747352727</v>
      </c>
      <c r="AM42" s="17">
        <f t="shared" si="10"/>
        <v>3.1273877375732639</v>
      </c>
      <c r="AN42" s="17">
        <f t="shared" si="10"/>
        <v>3.2114573004112543</v>
      </c>
      <c r="AO42" s="17">
        <f t="shared" si="10"/>
        <v>3.2955268632492456</v>
      </c>
      <c r="AP42" s="17">
        <f t="shared" si="10"/>
        <v>3.379596426087236</v>
      </c>
      <c r="AQ42" s="17">
        <f t="shared" si="10"/>
        <v>3.4636659889252273</v>
      </c>
      <c r="AR42" s="17">
        <f t="shared" si="10"/>
        <v>3.5477355517632181</v>
      </c>
      <c r="AS42" s="17">
        <f t="shared" si="10"/>
        <v>3.6318051146012094</v>
      </c>
      <c r="AT42" s="17">
        <f t="shared" si="10"/>
        <v>3.7158746774391997</v>
      </c>
      <c r="AU42" s="17">
        <f t="shared" si="10"/>
        <v>3.799944240277191</v>
      </c>
      <c r="AV42" s="17">
        <f t="shared" si="10"/>
        <v>3.8840138031151823</v>
      </c>
      <c r="AW42" s="17">
        <f t="shared" si="10"/>
        <v>3.9680833659531731</v>
      </c>
      <c r="AX42" s="17">
        <f t="shared" si="10"/>
        <v>4.0521529287911644</v>
      </c>
      <c r="AY42" s="17">
        <f t="shared" si="10"/>
        <v>4.1362224916291552</v>
      </c>
      <c r="AZ42" s="17">
        <f t="shared" si="10"/>
        <v>4.2202920544671461</v>
      </c>
      <c r="BA42" s="17">
        <f t="shared" si="10"/>
        <v>4.3043616173051369</v>
      </c>
      <c r="BB42" s="17">
        <f t="shared" si="10"/>
        <v>4.3884311801431286</v>
      </c>
      <c r="BC42" s="17">
        <f t="shared" si="10"/>
        <v>4.4725007429811185</v>
      </c>
      <c r="BD42" s="17">
        <f t="shared" si="10"/>
        <v>4.5565703058191094</v>
      </c>
      <c r="BE42" s="17">
        <f t="shared" si="10"/>
        <v>4.6406398686571002</v>
      </c>
      <c r="BF42" s="17">
        <f t="shared" si="10"/>
        <v>4.7247094314950919</v>
      </c>
      <c r="BG42" s="17">
        <f t="shared" si="10"/>
        <v>4.8087789943330828</v>
      </c>
      <c r="BH42" s="17">
        <f t="shared" si="10"/>
        <v>4.8928485571710736</v>
      </c>
      <c r="BI42" s="17">
        <f t="shared" si="10"/>
        <v>4.9769181200090653</v>
      </c>
      <c r="BJ42" s="17">
        <f t="shared" si="10"/>
        <v>5.0609876828470552</v>
      </c>
    </row>
    <row r="43" spans="1:62" ht="18.75">
      <c r="A43" s="3">
        <v>54</v>
      </c>
      <c r="B43" s="17">
        <f t="shared" si="1"/>
        <v>1.6711122333347248E-2</v>
      </c>
      <c r="C43" s="17">
        <f t="shared" si="10"/>
        <v>0.1002667340000835</v>
      </c>
      <c r="D43" s="17">
        <f t="shared" si="10"/>
        <v>0.18382234566681971</v>
      </c>
      <c r="E43" s="17">
        <f t="shared" si="10"/>
        <v>0.26737795733355596</v>
      </c>
      <c r="F43" s="17">
        <f t="shared" si="10"/>
        <v>0.3509335690002921</v>
      </c>
      <c r="G43" s="17">
        <f t="shared" si="10"/>
        <v>0.43448918066702846</v>
      </c>
      <c r="H43" s="17">
        <f t="shared" si="10"/>
        <v>0.51804479233376466</v>
      </c>
      <c r="I43" s="17">
        <f t="shared" si="10"/>
        <v>0.60160040400050085</v>
      </c>
      <c r="J43" s="17">
        <f t="shared" si="10"/>
        <v>0.68515601566723705</v>
      </c>
      <c r="K43" s="17">
        <f t="shared" si="10"/>
        <v>0.76871162733397347</v>
      </c>
      <c r="L43" s="17">
        <f t="shared" si="10"/>
        <v>0.85226723900070955</v>
      </c>
      <c r="M43" s="17">
        <f t="shared" si="10"/>
        <v>0.93582285066744575</v>
      </c>
      <c r="N43" s="17">
        <f t="shared" si="10"/>
        <v>1.0193784623341822</v>
      </c>
      <c r="O43" s="17">
        <f t="shared" si="10"/>
        <v>1.1029340740009184</v>
      </c>
      <c r="P43" s="17">
        <f t="shared" si="10"/>
        <v>1.1864896856676546</v>
      </c>
      <c r="Q43" s="17">
        <f t="shared" si="10"/>
        <v>1.2700452973343908</v>
      </c>
      <c r="R43" s="17">
        <f t="shared" si="10"/>
        <v>1.353600909001127</v>
      </c>
      <c r="S43" s="17">
        <f t="shared" si="10"/>
        <v>1.4371565206678631</v>
      </c>
      <c r="T43" s="17">
        <f t="shared" si="10"/>
        <v>1.5207121323345996</v>
      </c>
      <c r="U43" s="17">
        <f t="shared" si="10"/>
        <v>1.604267744001336</v>
      </c>
      <c r="V43" s="17">
        <f t="shared" si="10"/>
        <v>1.6878233556680722</v>
      </c>
      <c r="W43" s="17">
        <f t="shared" si="10"/>
        <v>1.7713789673348084</v>
      </c>
      <c r="X43" s="17">
        <f t="shared" si="10"/>
        <v>1.8549345790015446</v>
      </c>
      <c r="Y43" s="17">
        <f t="shared" si="10"/>
        <v>1.9384901906682805</v>
      </c>
      <c r="Z43" s="17">
        <f t="shared" si="10"/>
        <v>2.022045802335017</v>
      </c>
      <c r="AA43" s="17">
        <f t="shared" si="10"/>
        <v>2.1056014140017529</v>
      </c>
      <c r="AB43" s="17">
        <f t="shared" si="10"/>
        <v>2.1891570256684894</v>
      </c>
      <c r="AC43" s="17">
        <f t="shared" si="10"/>
        <v>2.2727126373352253</v>
      </c>
      <c r="AD43" s="17">
        <f t="shared" si="10"/>
        <v>2.3562682490019617</v>
      </c>
      <c r="AE43" s="17">
        <f t="shared" si="10"/>
        <v>2.4398238606686982</v>
      </c>
      <c r="AF43" s="17">
        <f t="shared" si="10"/>
        <v>2.5233794723354341</v>
      </c>
      <c r="AG43" s="17">
        <f t="shared" si="10"/>
        <v>2.6069350840021706</v>
      </c>
      <c r="AH43" s="17">
        <f t="shared" si="10"/>
        <v>2.6904906956689065</v>
      </c>
      <c r="AI43" s="17">
        <f t="shared" si="10"/>
        <v>2.7740463073356429</v>
      </c>
      <c r="AJ43" s="17">
        <f t="shared" si="10"/>
        <v>2.8576019190023794</v>
      </c>
      <c r="AK43" s="17">
        <f t="shared" si="10"/>
        <v>2.9411575306691153</v>
      </c>
      <c r="AL43" s="17">
        <f t="shared" si="10"/>
        <v>3.0247131423358518</v>
      </c>
      <c r="AM43" s="17">
        <f t="shared" si="10"/>
        <v>3.1082687540025877</v>
      </c>
      <c r="AN43" s="17">
        <f t="shared" si="10"/>
        <v>3.1918243656693246</v>
      </c>
      <c r="AO43" s="17">
        <f t="shared" si="10"/>
        <v>3.2753799773360601</v>
      </c>
      <c r="AP43" s="17">
        <f t="shared" si="10"/>
        <v>3.3589355890027965</v>
      </c>
      <c r="AQ43" s="17">
        <f t="shared" si="10"/>
        <v>3.4424912006695325</v>
      </c>
      <c r="AR43" s="17">
        <f t="shared" si="10"/>
        <v>3.5260468123362689</v>
      </c>
      <c r="AS43" s="17">
        <f t="shared" si="10"/>
        <v>3.6096024240030058</v>
      </c>
      <c r="AT43" s="17">
        <f t="shared" si="10"/>
        <v>3.6931580356697413</v>
      </c>
      <c r="AU43" s="17">
        <f t="shared" si="10"/>
        <v>3.7767136473364782</v>
      </c>
      <c r="AV43" s="17">
        <f t="shared" si="10"/>
        <v>3.8602692590032137</v>
      </c>
      <c r="AW43" s="17">
        <f t="shared" si="10"/>
        <v>3.9438248706699506</v>
      </c>
      <c r="AX43" s="17">
        <f t="shared" si="10"/>
        <v>4.0273804823366861</v>
      </c>
      <c r="AY43" s="17">
        <f t="shared" si="10"/>
        <v>4.1109360940034225</v>
      </c>
      <c r="AZ43" s="17">
        <f t="shared" si="10"/>
        <v>4.1944917056701589</v>
      </c>
      <c r="BA43" s="17">
        <f t="shared" si="10"/>
        <v>4.2780473173368954</v>
      </c>
      <c r="BB43" s="17">
        <f t="shared" si="10"/>
        <v>4.3616029290036327</v>
      </c>
      <c r="BC43" s="17">
        <f t="shared" si="10"/>
        <v>4.4451585406703673</v>
      </c>
      <c r="BD43" s="17">
        <f t="shared" si="10"/>
        <v>4.5287141523371037</v>
      </c>
      <c r="BE43" s="17">
        <f t="shared" si="10"/>
        <v>4.6122697640038401</v>
      </c>
      <c r="BF43" s="17">
        <f t="shared" si="10"/>
        <v>4.6958253756705766</v>
      </c>
      <c r="BG43" s="17">
        <f t="shared" si="10"/>
        <v>4.779380987337313</v>
      </c>
      <c r="BH43" s="17">
        <f t="shared" si="10"/>
        <v>4.8629365990040485</v>
      </c>
      <c r="BI43" s="17">
        <f t="shared" si="10"/>
        <v>4.9464922106707858</v>
      </c>
      <c r="BJ43" s="17">
        <f t="shared" si="10"/>
        <v>5.0300478223375213</v>
      </c>
    </row>
    <row r="44" spans="1:62" ht="18.75">
      <c r="A44" s="3">
        <v>56</v>
      </c>
      <c r="B44" s="17">
        <f t="shared" si="1"/>
        <v>1.6609581258862378E-2</v>
      </c>
      <c r="C44" s="17">
        <f t="shared" si="10"/>
        <v>9.9657487553174273E-2</v>
      </c>
      <c r="D44" s="17">
        <f t="shared" si="10"/>
        <v>0.18270539384748616</v>
      </c>
      <c r="E44" s="17">
        <f t="shared" si="10"/>
        <v>0.26575330014179804</v>
      </c>
      <c r="F44" s="17">
        <f t="shared" si="10"/>
        <v>0.3488012064361099</v>
      </c>
      <c r="G44" s="17">
        <f t="shared" si="10"/>
        <v>0.43184911273042187</v>
      </c>
      <c r="H44" s="17">
        <f t="shared" si="10"/>
        <v>0.51489701902473373</v>
      </c>
      <c r="I44" s="17">
        <f t="shared" si="10"/>
        <v>0.59794492531904564</v>
      </c>
      <c r="J44" s="17">
        <f t="shared" si="10"/>
        <v>0.68099283161335744</v>
      </c>
      <c r="K44" s="17">
        <f t="shared" si="10"/>
        <v>0.76404073790766946</v>
      </c>
      <c r="L44" s="17">
        <f t="shared" si="10"/>
        <v>0.84708864420198138</v>
      </c>
      <c r="M44" s="17">
        <f t="shared" si="10"/>
        <v>0.93013655049629307</v>
      </c>
      <c r="N44" s="17">
        <f t="shared" si="10"/>
        <v>1.013184456790605</v>
      </c>
      <c r="O44" s="17">
        <f t="shared" si="10"/>
        <v>1.0962323630849169</v>
      </c>
      <c r="P44" s="17">
        <f t="shared" si="10"/>
        <v>1.1792802693792288</v>
      </c>
      <c r="Q44" s="17">
        <f t="shared" si="10"/>
        <v>1.2623281756735409</v>
      </c>
      <c r="R44" s="17">
        <f t="shared" si="10"/>
        <v>1.3453760819678526</v>
      </c>
      <c r="S44" s="17">
        <f t="shared" si="10"/>
        <v>1.4284239882621643</v>
      </c>
      <c r="T44" s="17">
        <f t="shared" si="10"/>
        <v>1.5114718945564765</v>
      </c>
      <c r="U44" s="17">
        <f t="shared" si="10"/>
        <v>1.5945198008507884</v>
      </c>
      <c r="V44" s="17">
        <f t="shared" si="10"/>
        <v>1.6775677071451003</v>
      </c>
      <c r="W44" s="17">
        <f t="shared" si="10"/>
        <v>1.760615613439412</v>
      </c>
      <c r="X44" s="17">
        <f t="shared" si="10"/>
        <v>1.8436635197337241</v>
      </c>
      <c r="Y44" s="17">
        <f t="shared" si="10"/>
        <v>1.9267114260280358</v>
      </c>
      <c r="Z44" s="17">
        <f t="shared" si="10"/>
        <v>2.0097593323223477</v>
      </c>
      <c r="AA44" s="17">
        <f t="shared" si="10"/>
        <v>2.0928072386166594</v>
      </c>
      <c r="AB44" s="17">
        <f t="shared" si="10"/>
        <v>2.1758551449109711</v>
      </c>
      <c r="AC44" s="17">
        <f t="shared" si="10"/>
        <v>2.2589030512052832</v>
      </c>
      <c r="AD44" s="17">
        <f t="shared" si="10"/>
        <v>2.3419509574995954</v>
      </c>
      <c r="AE44" s="17">
        <f t="shared" si="10"/>
        <v>2.4249988637939075</v>
      </c>
      <c r="AF44" s="17">
        <f t="shared" si="10"/>
        <v>2.5080467700882192</v>
      </c>
      <c r="AG44" s="17">
        <f t="shared" ref="C44:BJ46" si="11">($B$1/1000)*((AG$5+1)/1.01325)*(273.15/(273.15+$A44))*$B$2</f>
        <v>2.5910946763825309</v>
      </c>
      <c r="AH44" s="17">
        <f t="shared" si="11"/>
        <v>2.6741425826768426</v>
      </c>
      <c r="AI44" s="17">
        <f t="shared" si="11"/>
        <v>2.7571904889711547</v>
      </c>
      <c r="AJ44" s="17">
        <f t="shared" si="11"/>
        <v>2.8402383952654664</v>
      </c>
      <c r="AK44" s="17">
        <f t="shared" si="11"/>
        <v>2.9232863015597785</v>
      </c>
      <c r="AL44" s="17">
        <f t="shared" si="11"/>
        <v>3.0063342078540907</v>
      </c>
      <c r="AM44" s="17">
        <f t="shared" si="11"/>
        <v>3.0893821141484024</v>
      </c>
      <c r="AN44" s="17">
        <f t="shared" si="11"/>
        <v>3.1724300204427145</v>
      </c>
      <c r="AO44" s="17">
        <f t="shared" si="11"/>
        <v>3.2554779267370262</v>
      </c>
      <c r="AP44" s="17">
        <f t="shared" si="11"/>
        <v>3.3385258330313379</v>
      </c>
      <c r="AQ44" s="17">
        <f t="shared" si="11"/>
        <v>3.42157373932565</v>
      </c>
      <c r="AR44" s="17">
        <f t="shared" si="11"/>
        <v>3.5046216456199617</v>
      </c>
      <c r="AS44" s="17">
        <f t="shared" si="11"/>
        <v>3.5876695519142734</v>
      </c>
      <c r="AT44" s="17">
        <f t="shared" si="11"/>
        <v>3.670717458208586</v>
      </c>
      <c r="AU44" s="17">
        <f t="shared" si="11"/>
        <v>3.7537653645028977</v>
      </c>
      <c r="AV44" s="17">
        <f t="shared" si="11"/>
        <v>3.8368132707972094</v>
      </c>
      <c r="AW44" s="17">
        <f t="shared" si="11"/>
        <v>3.919861177091521</v>
      </c>
      <c r="AX44" s="17">
        <f t="shared" si="11"/>
        <v>4.0029090833858332</v>
      </c>
      <c r="AY44" s="17">
        <f t="shared" si="11"/>
        <v>4.0859569896801453</v>
      </c>
      <c r="AZ44" s="17">
        <f t="shared" si="11"/>
        <v>4.1690048959744566</v>
      </c>
      <c r="BA44" s="17">
        <f t="shared" si="11"/>
        <v>4.2520528022687687</v>
      </c>
      <c r="BB44" s="17">
        <f t="shared" si="11"/>
        <v>4.3351007085630817</v>
      </c>
      <c r="BC44" s="17">
        <f t="shared" si="11"/>
        <v>4.4181486148573921</v>
      </c>
      <c r="BD44" s="17">
        <f t="shared" si="11"/>
        <v>4.5011965211517042</v>
      </c>
      <c r="BE44" s="17">
        <f t="shared" si="11"/>
        <v>4.5842444274460163</v>
      </c>
      <c r="BF44" s="17">
        <f t="shared" si="11"/>
        <v>4.6672923337403285</v>
      </c>
      <c r="BG44" s="17">
        <f t="shared" si="11"/>
        <v>4.7503402400346397</v>
      </c>
      <c r="BH44" s="17">
        <f t="shared" si="11"/>
        <v>4.8333881463289519</v>
      </c>
      <c r="BI44" s="17">
        <f t="shared" si="11"/>
        <v>4.9164360526232649</v>
      </c>
      <c r="BJ44" s="17">
        <f t="shared" si="11"/>
        <v>4.9994839589175761</v>
      </c>
    </row>
    <row r="45" spans="1:62" ht="18.75">
      <c r="A45" s="3">
        <v>58</v>
      </c>
      <c r="B45" s="17">
        <f t="shared" si="1"/>
        <v>1.6509266711020841E-2</v>
      </c>
      <c r="C45" s="17">
        <f t="shared" si="11"/>
        <v>9.905560026612506E-2</v>
      </c>
      <c r="D45" s="17">
        <f t="shared" si="11"/>
        <v>0.18160193382122927</v>
      </c>
      <c r="E45" s="17">
        <f t="shared" si="11"/>
        <v>0.26414826737633346</v>
      </c>
      <c r="F45" s="17">
        <f t="shared" si="11"/>
        <v>0.34669460093143767</v>
      </c>
      <c r="G45" s="17">
        <f t="shared" si="11"/>
        <v>0.42924093448654194</v>
      </c>
      <c r="H45" s="17">
        <f t="shared" si="11"/>
        <v>0.51178726804164609</v>
      </c>
      <c r="I45" s="17">
        <f t="shared" si="11"/>
        <v>0.5943336015967503</v>
      </c>
      <c r="J45" s="17">
        <f t="shared" si="11"/>
        <v>0.67687993515185441</v>
      </c>
      <c r="K45" s="17">
        <f t="shared" si="11"/>
        <v>0.75942626870695884</v>
      </c>
      <c r="L45" s="17">
        <f t="shared" si="11"/>
        <v>0.84197260226206294</v>
      </c>
      <c r="M45" s="17">
        <f t="shared" si="11"/>
        <v>0.92451893581716715</v>
      </c>
      <c r="N45" s="17">
        <f t="shared" si="11"/>
        <v>1.0070652693722715</v>
      </c>
      <c r="O45" s="17">
        <f t="shared" si="11"/>
        <v>1.0896116029273755</v>
      </c>
      <c r="P45" s="17">
        <f t="shared" si="11"/>
        <v>1.1721579364824797</v>
      </c>
      <c r="Q45" s="17">
        <f t="shared" si="11"/>
        <v>1.2547042700375841</v>
      </c>
      <c r="R45" s="17">
        <f t="shared" si="11"/>
        <v>1.3372506035926883</v>
      </c>
      <c r="S45" s="17">
        <f t="shared" si="11"/>
        <v>1.4197969371477921</v>
      </c>
      <c r="T45" s="17">
        <f t="shared" si="11"/>
        <v>1.5023432707028967</v>
      </c>
      <c r="U45" s="17">
        <f t="shared" si="11"/>
        <v>1.584889604258001</v>
      </c>
      <c r="V45" s="17">
        <f t="shared" si="11"/>
        <v>1.667435937813105</v>
      </c>
      <c r="W45" s="17">
        <f t="shared" si="11"/>
        <v>1.7499822713682094</v>
      </c>
      <c r="X45" s="17">
        <f t="shared" si="11"/>
        <v>1.8325286049233134</v>
      </c>
      <c r="Y45" s="17">
        <f t="shared" si="11"/>
        <v>1.9150749384784178</v>
      </c>
      <c r="Z45" s="17">
        <f t="shared" si="11"/>
        <v>1.997621272033522</v>
      </c>
      <c r="AA45" s="17">
        <f t="shared" si="11"/>
        <v>2.0801676055886262</v>
      </c>
      <c r="AB45" s="17">
        <f t="shared" si="11"/>
        <v>2.16271393914373</v>
      </c>
      <c r="AC45" s="17">
        <f t="shared" si="11"/>
        <v>2.2452602726988342</v>
      </c>
      <c r="AD45" s="17">
        <f t="shared" si="11"/>
        <v>2.3278066062539389</v>
      </c>
      <c r="AE45" s="17">
        <f t="shared" si="11"/>
        <v>2.4103529398090426</v>
      </c>
      <c r="AF45" s="17">
        <f t="shared" si="11"/>
        <v>2.4928992733641473</v>
      </c>
      <c r="AG45" s="17">
        <f t="shared" si="11"/>
        <v>2.5754456069192515</v>
      </c>
      <c r="AH45" s="17">
        <f t="shared" si="11"/>
        <v>2.6579919404743557</v>
      </c>
      <c r="AI45" s="17">
        <f t="shared" si="11"/>
        <v>2.7405382740294599</v>
      </c>
      <c r="AJ45" s="17">
        <f t="shared" si="11"/>
        <v>2.8230846075845637</v>
      </c>
      <c r="AK45" s="17">
        <f t="shared" si="11"/>
        <v>2.9056309411396684</v>
      </c>
      <c r="AL45" s="17">
        <f t="shared" si="11"/>
        <v>2.9881772746947726</v>
      </c>
      <c r="AM45" s="17">
        <f t="shared" si="11"/>
        <v>3.0707236082498763</v>
      </c>
      <c r="AN45" s="17">
        <f t="shared" si="11"/>
        <v>3.153269941804981</v>
      </c>
      <c r="AO45" s="17">
        <f t="shared" si="11"/>
        <v>3.2358162753600848</v>
      </c>
      <c r="AP45" s="17">
        <f t="shared" si="11"/>
        <v>3.3183626089151894</v>
      </c>
      <c r="AQ45" s="17">
        <f t="shared" si="11"/>
        <v>3.4009089424702936</v>
      </c>
      <c r="AR45" s="17">
        <f t="shared" si="11"/>
        <v>3.4834552760253974</v>
      </c>
      <c r="AS45" s="17">
        <f t="shared" si="11"/>
        <v>3.5660016095805016</v>
      </c>
      <c r="AT45" s="17">
        <f t="shared" si="11"/>
        <v>3.6485479431356063</v>
      </c>
      <c r="AU45" s="17">
        <f t="shared" si="11"/>
        <v>3.7310942766907105</v>
      </c>
      <c r="AV45" s="17">
        <f t="shared" si="11"/>
        <v>3.8136406102458142</v>
      </c>
      <c r="AW45" s="17">
        <f t="shared" si="11"/>
        <v>3.8961869438009189</v>
      </c>
      <c r="AX45" s="17">
        <f t="shared" si="11"/>
        <v>3.9787332773560231</v>
      </c>
      <c r="AY45" s="17">
        <f t="shared" si="11"/>
        <v>4.0612796109111269</v>
      </c>
      <c r="AZ45" s="17">
        <f t="shared" si="11"/>
        <v>4.1438259444662311</v>
      </c>
      <c r="BA45" s="17">
        <f t="shared" si="11"/>
        <v>4.2263722780213353</v>
      </c>
      <c r="BB45" s="17">
        <f t="shared" si="11"/>
        <v>4.3089186115764404</v>
      </c>
      <c r="BC45" s="17">
        <f t="shared" si="11"/>
        <v>4.3914649451315437</v>
      </c>
      <c r="BD45" s="17">
        <f t="shared" si="11"/>
        <v>4.4740112786866479</v>
      </c>
      <c r="BE45" s="17">
        <f t="shared" si="11"/>
        <v>4.5565576122417522</v>
      </c>
      <c r="BF45" s="17">
        <f t="shared" si="11"/>
        <v>4.6391039457968564</v>
      </c>
      <c r="BG45" s="17">
        <f t="shared" si="11"/>
        <v>4.7216502793519615</v>
      </c>
      <c r="BH45" s="17">
        <f t="shared" si="11"/>
        <v>4.8041966129070648</v>
      </c>
      <c r="BI45" s="17">
        <f t="shared" si="11"/>
        <v>4.8867429464621699</v>
      </c>
      <c r="BJ45" s="17">
        <f t="shared" si="11"/>
        <v>4.9692892800172732</v>
      </c>
    </row>
    <row r="46" spans="1:62" ht="18.75">
      <c r="A46" s="3">
        <v>60</v>
      </c>
      <c r="B46" s="17">
        <f t="shared" si="1"/>
        <v>1.6410156600193761E-2</v>
      </c>
      <c r="C46" s="17">
        <f t="shared" si="11"/>
        <v>9.8460939601162589E-2</v>
      </c>
      <c r="D46" s="17">
        <f t="shared" si="11"/>
        <v>0.18051172260213139</v>
      </c>
      <c r="E46" s="17">
        <f t="shared" si="11"/>
        <v>0.26256250560310018</v>
      </c>
      <c r="F46" s="17">
        <f t="shared" si="11"/>
        <v>0.34461328860406898</v>
      </c>
      <c r="G46" s="17">
        <f t="shared" si="11"/>
        <v>0.42666407160503789</v>
      </c>
      <c r="H46" s="17">
        <f t="shared" si="11"/>
        <v>0.50871485460600663</v>
      </c>
      <c r="I46" s="17">
        <f t="shared" si="11"/>
        <v>0.59076563760697542</v>
      </c>
      <c r="J46" s="17">
        <f t="shared" si="11"/>
        <v>0.67281642060794422</v>
      </c>
      <c r="K46" s="17">
        <f t="shared" si="11"/>
        <v>0.75486720360891324</v>
      </c>
      <c r="L46" s="17">
        <f t="shared" si="11"/>
        <v>0.83691798660988193</v>
      </c>
      <c r="M46" s="17">
        <f t="shared" si="11"/>
        <v>0.91896876961085061</v>
      </c>
      <c r="N46" s="17">
        <f t="shared" si="11"/>
        <v>1.0010195526118197</v>
      </c>
      <c r="O46" s="17">
        <f t="shared" si="11"/>
        <v>1.0830703356127884</v>
      </c>
      <c r="P46" s="17">
        <f t="shared" si="11"/>
        <v>1.1651211186137571</v>
      </c>
      <c r="Q46" s="17">
        <f t="shared" si="11"/>
        <v>1.247171901614726</v>
      </c>
      <c r="R46" s="17">
        <f t="shared" si="11"/>
        <v>1.3292226846156947</v>
      </c>
      <c r="S46" s="17">
        <f t="shared" si="11"/>
        <v>1.4112734676166634</v>
      </c>
      <c r="T46" s="17">
        <f t="shared" si="11"/>
        <v>1.4933242506176325</v>
      </c>
      <c r="U46" s="17">
        <f t="shared" si="11"/>
        <v>1.5753750336186014</v>
      </c>
      <c r="V46" s="17">
        <f t="shared" si="11"/>
        <v>1.6574258166195699</v>
      </c>
      <c r="W46" s="17">
        <f t="shared" si="11"/>
        <v>1.7394765996205388</v>
      </c>
      <c r="X46" s="17">
        <f t="shared" si="11"/>
        <v>1.8215273826215077</v>
      </c>
      <c r="Y46" s="17">
        <f t="shared" si="11"/>
        <v>1.9035781656224766</v>
      </c>
      <c r="Z46" s="17">
        <f t="shared" si="11"/>
        <v>1.9856289486234455</v>
      </c>
      <c r="AA46" s="17">
        <f t="shared" si="11"/>
        <v>2.067679731624414</v>
      </c>
      <c r="AB46" s="17">
        <f t="shared" si="11"/>
        <v>2.1497305146253827</v>
      </c>
      <c r="AC46" s="17">
        <f t="shared" si="11"/>
        <v>2.2317812976263514</v>
      </c>
      <c r="AD46" s="17">
        <f t="shared" si="11"/>
        <v>2.3138320806273205</v>
      </c>
      <c r="AE46" s="17">
        <f t="shared" si="11"/>
        <v>2.3958828636282896</v>
      </c>
      <c r="AF46" s="17">
        <f t="shared" si="11"/>
        <v>2.4779336466292583</v>
      </c>
      <c r="AG46" s="17">
        <f t="shared" si="11"/>
        <v>2.559984429630227</v>
      </c>
      <c r="AH46" s="17">
        <f t="shared" si="11"/>
        <v>2.6420352126311957</v>
      </c>
      <c r="AI46" s="17">
        <f t="shared" si="11"/>
        <v>2.7240859956321648</v>
      </c>
      <c r="AJ46" s="17">
        <f t="shared" si="11"/>
        <v>2.8061367786331335</v>
      </c>
      <c r="AK46" s="17">
        <f t="shared" si="11"/>
        <v>2.8881875616341022</v>
      </c>
      <c r="AL46" s="17">
        <f t="shared" si="11"/>
        <v>2.9702383446350709</v>
      </c>
      <c r="AM46" s="17">
        <f t="shared" si="11"/>
        <v>3.05228912763604</v>
      </c>
      <c r="AN46" s="17">
        <f t="shared" si="11"/>
        <v>3.1343399106370091</v>
      </c>
      <c r="AO46" s="17">
        <f t="shared" si="11"/>
        <v>3.2163906936379774</v>
      </c>
      <c r="AP46" s="17">
        <f t="shared" si="11"/>
        <v>3.298441476638946</v>
      </c>
      <c r="AQ46" s="17">
        <f t="shared" si="11"/>
        <v>3.3804922596399152</v>
      </c>
      <c r="AR46" s="17">
        <f t="shared" si="11"/>
        <v>3.4625430426408839</v>
      </c>
      <c r="AS46" s="17">
        <f t="shared" si="11"/>
        <v>3.544593825641853</v>
      </c>
      <c r="AT46" s="17">
        <f t="shared" si="11"/>
        <v>3.6266446086428217</v>
      </c>
      <c r="AU46" s="17">
        <f t="shared" si="11"/>
        <v>3.7086953916437899</v>
      </c>
      <c r="AV46" s="17">
        <f t="shared" si="11"/>
        <v>3.7907461746447595</v>
      </c>
      <c r="AW46" s="17">
        <f t="shared" si="11"/>
        <v>3.8727969576457277</v>
      </c>
      <c r="AX46" s="17">
        <f t="shared" si="11"/>
        <v>3.9548477406466969</v>
      </c>
      <c r="AY46" s="17">
        <f t="shared" si="11"/>
        <v>4.0368985236476655</v>
      </c>
      <c r="AZ46" s="17">
        <f t="shared" si="11"/>
        <v>4.1189493066486342</v>
      </c>
      <c r="BA46" s="17">
        <f t="shared" si="11"/>
        <v>4.2010000896496029</v>
      </c>
      <c r="BB46" s="17">
        <f t="shared" si="11"/>
        <v>4.2830508726505725</v>
      </c>
      <c r="BC46" s="17">
        <f t="shared" si="11"/>
        <v>4.3651016556515412</v>
      </c>
      <c r="BD46" s="17">
        <f t="shared" si="11"/>
        <v>4.447152438652509</v>
      </c>
      <c r="BE46" s="17">
        <f t="shared" si="11"/>
        <v>4.5292032216534786</v>
      </c>
      <c r="BF46" s="17">
        <f t="shared" si="11"/>
        <v>4.6112540046544472</v>
      </c>
      <c r="BG46" s="17">
        <f t="shared" si="11"/>
        <v>4.6933047876554159</v>
      </c>
      <c r="BH46" s="17">
        <f t="shared" si="11"/>
        <v>4.7753555706563855</v>
      </c>
      <c r="BI46" s="17">
        <f t="shared" si="11"/>
        <v>4.8574063536573542</v>
      </c>
      <c r="BJ46" s="17">
        <f t="shared" si="11"/>
        <v>4.9394571366583229</v>
      </c>
    </row>
  </sheetData>
  <phoneticPr fontId="1" type="noConversion"/>
  <pageMargins left="0.75" right="0.75" top="1" bottom="1" header="0.5" footer="0.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calculo medio de abastecimento</vt:lpstr>
      <vt:lpstr>Tabela GNV</vt:lpstr>
      <vt:lpstr>Tabela GNV corrigido densidade</vt:lpstr>
      <vt:lpstr>Tabela GNV massa em KG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Christiano Gaio</cp:lastModifiedBy>
  <dcterms:created xsi:type="dcterms:W3CDTF">2026-07-20T13:41:46Z</dcterms:created>
  <dcterms:modified xsi:type="dcterms:W3CDTF">2026-07-28T19:11:34Z</dcterms:modified>
</cp:coreProperties>
</file>